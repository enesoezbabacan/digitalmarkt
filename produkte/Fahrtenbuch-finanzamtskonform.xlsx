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Fahrzeug" sheetId="2" state="visible" r:id="rId2"/>
    <sheet name="Fahrtenbuch" sheetId="3" state="visible" r:id="rId3"/>
    <sheet name="Auswer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;[Red]-#,##0.00 &quot;€&quot;;&quot;–&quot;"/>
    <numFmt numFmtId="165" formatCode="0.0%"/>
    <numFmt numFmtId="166" formatCode="TT.MM.JJJJ"/>
    <numFmt numFmtId="167" formatCode="#,##0 &quot;km&quot;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1"/>
    </font>
    <font>
      <name val="Arial"/>
      <color rgb="000000FF"/>
      <sz val="11"/>
    </font>
    <font>
      <name val="Arial"/>
      <color rgb="00595959"/>
      <sz val="9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sz val="12"/>
    </font>
    <font>
      <name val="Arial"/>
      <b val="1"/>
      <color rgb="00C00000"/>
      <sz val="10"/>
    </font>
    <font>
      <name val="Arial"/>
      <color rgb="00C00000"/>
      <sz val="10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2" borderId="1" pivotButton="0" quotePrefix="0" xfId="0"/>
    <xf numFmtId="164" fontId="8" fillId="2" borderId="1" pivotButton="0" quotePrefix="0" xfId="0"/>
    <xf numFmtId="0" fontId="9" fillId="0" borderId="0" applyAlignment="1" pivotButton="0" quotePrefix="0" xfId="0">
      <alignment vertical="center" wrapText="1"/>
    </xf>
    <xf numFmtId="165" fontId="8" fillId="2" borderId="1" pivotButton="0" quotePrefix="0" xfId="0"/>
    <xf numFmtId="0" fontId="10" fillId="3" borderId="1" applyAlignment="1" pivotButton="0" quotePrefix="0" xfId="0">
      <alignment horizontal="center" wrapText="1"/>
    </xf>
    <xf numFmtId="166" fontId="12" fillId="2" borderId="1" pivotButton="0" quotePrefix="0" xfId="0"/>
    <xf numFmtId="0" fontId="12" fillId="2" borderId="1" pivotButton="0" quotePrefix="0" xfId="0"/>
    <xf numFmtId="167" fontId="12" fillId="4" borderId="1" pivotButton="0" quotePrefix="0" xfId="0"/>
    <xf numFmtId="0" fontId="13" fillId="4" borderId="1" pivotButton="0" quotePrefix="0" xfId="0"/>
    <xf numFmtId="0" fontId="14" fillId="3" borderId="0" pivotButton="0" quotePrefix="0" xfId="0"/>
    <xf numFmtId="0" fontId="0" fillId="3" borderId="0" pivotButton="0" quotePrefix="0" xfId="0"/>
    <xf numFmtId="0" fontId="2" fillId="0" borderId="1" pivotButton="0" quotePrefix="0" xfId="0"/>
    <xf numFmtId="167" fontId="2" fillId="0" borderId="1" pivotButton="0" quotePrefix="0" xfId="0"/>
    <xf numFmtId="167" fontId="7" fillId="5" borderId="1" pivotButton="0" quotePrefix="0" xfId="0"/>
    <xf numFmtId="165" fontId="7" fillId="0" borderId="1" pivotButton="0" quotePrefix="0" xfId="0"/>
    <xf numFmtId="164" fontId="2" fillId="0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15" fillId="3" borderId="1" pivotButton="0" quotePrefix="0" xfId="0"/>
    <xf numFmtId="0" fontId="16" fillId="2" borderId="1" pivotButton="0" quotePrefix="0" xfId="0"/>
    <xf numFmtId="3" fontId="2" fillId="0" borderId="1" pivotButton="0" quotePrefix="0" xfId="0"/>
    <xf numFmtId="3" fontId="7" fillId="7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Fahrtenbuch für Selbstständige</t>
        </is>
      </c>
    </row>
    <row r="3">
      <c r="B3" s="2" t="inlineStr"/>
    </row>
    <row r="4">
      <c r="B4" s="3" t="inlineStr">
        <is>
          <t>Warum ein Fahrtenbuch?</t>
        </is>
      </c>
    </row>
    <row r="5">
      <c r="B5" s="2" t="inlineStr">
        <is>
          <t>Nutzt du ein Fahrzeug aus dem Betriebsvermögen auch privat, musst du den</t>
        </is>
      </c>
    </row>
    <row r="6">
      <c r="B6" s="2" t="inlineStr">
        <is>
          <t>privaten Anteil versteuern. Dafür gibt es zwei Wege:</t>
        </is>
      </c>
    </row>
    <row r="7">
      <c r="B7" s="2" t="inlineStr"/>
    </row>
    <row r="8">
      <c r="B8" s="2" t="inlineStr">
        <is>
          <t xml:space="preserve">   1-%-Regelung: Pauschal 1 % des Bruttolistenpreises pro Monat.</t>
        </is>
      </c>
    </row>
    <row r="9">
      <c r="B9" s="2" t="inlineStr">
        <is>
          <t xml:space="preserve">   Einfach, aber oft teuer — besonders bei teuren Fahrzeugen und</t>
        </is>
      </c>
    </row>
    <row r="10">
      <c r="B10" s="2" t="inlineStr">
        <is>
          <t xml:space="preserve">   wenig Privatnutzung.</t>
        </is>
      </c>
    </row>
    <row r="11">
      <c r="B11" s="2" t="inlineStr"/>
    </row>
    <row r="12">
      <c r="B12" s="2" t="inlineStr">
        <is>
          <t xml:space="preserve">   Fahrtenbuch: Du weist den tatsächlichen Privatanteil nach und</t>
        </is>
      </c>
    </row>
    <row r="13">
      <c r="B13" s="2" t="inlineStr">
        <is>
          <t xml:space="preserve">   versteuerst nur diesen. Mehr Aufwand, aber meist deutlich günstiger.</t>
        </is>
      </c>
    </row>
    <row r="14">
      <c r="B14" s="2" t="inlineStr"/>
    </row>
    <row r="15">
      <c r="B15" s="2" t="inlineStr">
        <is>
          <t>Diese Vorlage rechnet dir beides aus und zeigt, welcher Weg für dich</t>
        </is>
      </c>
    </row>
    <row r="16">
      <c r="B16" s="2" t="inlineStr">
        <is>
          <t>günstiger ist.</t>
        </is>
      </c>
    </row>
    <row r="17">
      <c r="B17" s="2" t="inlineStr"/>
    </row>
    <row r="18">
      <c r="B18" s="3" t="inlineStr">
        <is>
          <t>Die vier Anforderungen des Finanzamts</t>
        </is>
      </c>
    </row>
    <row r="19">
      <c r="B19" s="2" t="inlineStr">
        <is>
          <t>Ein Fahrtenbuch wird nur anerkannt, wenn es alle vier erfüllt:</t>
        </is>
      </c>
    </row>
    <row r="20">
      <c r="B20" s="2" t="inlineStr"/>
    </row>
    <row r="21">
      <c r="B21" s="2" t="inlineStr">
        <is>
          <t xml:space="preserve">   1. ZEITNAH geführt — also direkt nach der Fahrt, nicht am Jahresende.</t>
        </is>
      </c>
    </row>
    <row r="22">
      <c r="B22" s="2" t="inlineStr">
        <is>
          <t xml:space="preserve">   2. LÜCKENLOS — jede Fahrt, keine Lücken im Kilometerstand.</t>
        </is>
      </c>
    </row>
    <row r="23">
      <c r="B23" s="2" t="inlineStr">
        <is>
          <t xml:space="preserve">   3. GESCHLOSSEN — nachträglich nicht änderbar.</t>
        </is>
      </c>
    </row>
    <row r="24">
      <c r="B24" s="2" t="inlineStr">
        <is>
          <t xml:space="preserve">   4. VOLLSTÄNDIG — mit allen Pflichtangaben je Fahrt.</t>
        </is>
      </c>
    </row>
    <row r="25">
      <c r="B25" s="2" t="inlineStr"/>
    </row>
    <row r="26">
      <c r="B26" s="3" t="inlineStr">
        <is>
          <t>Pflichtangaben je betrieblicher Fahrt</t>
        </is>
      </c>
    </row>
    <row r="27">
      <c r="B27" s="2" t="inlineStr">
        <is>
          <t xml:space="preserve">   • Datum</t>
        </is>
      </c>
    </row>
    <row r="28">
      <c r="B28" s="2" t="inlineStr">
        <is>
          <t xml:space="preserve">   • Kilometerstand bei Beginn und Ende</t>
        </is>
      </c>
    </row>
    <row r="29">
      <c r="B29" s="2" t="inlineStr">
        <is>
          <t xml:space="preserve">   • Reiseziel (Ort und Straße)</t>
        </is>
      </c>
    </row>
    <row r="30">
      <c r="B30" s="2" t="inlineStr">
        <is>
          <t xml:space="preserve">   • Reisezweck</t>
        </is>
      </c>
    </row>
    <row r="31">
      <c r="B31" s="2" t="inlineStr">
        <is>
          <t xml:space="preserve">   • Aufgesuchter Geschäftspartner oder Kunde</t>
        </is>
      </c>
    </row>
    <row r="32">
      <c r="B32" s="2" t="inlineStr"/>
    </row>
    <row r="33">
      <c r="B33" s="2" t="inlineStr">
        <is>
          <t>Bei Privatfahrten genügt die Angabe der gefahrenen Kilometer.</t>
        </is>
      </c>
    </row>
    <row r="34">
      <c r="B34" s="2" t="inlineStr">
        <is>
          <t>Bei Fahrten Wohnung–Betrieb genügt ein entsprechender Vermerk.</t>
        </is>
      </c>
    </row>
    <row r="35">
      <c r="B35" s="2" t="inlineStr"/>
    </row>
    <row r="36">
      <c r="B36" s="4" t="inlineStr">
        <is>
          <t>Der wichtigste Punkt</t>
        </is>
      </c>
    </row>
    <row r="37">
      <c r="B37" s="2" t="inlineStr">
        <is>
          <t>Eine Excel-Datei gilt für sich genommen NICHT als geschlossene Form —</t>
        </is>
      </c>
    </row>
    <row r="38">
      <c r="B38" s="2" t="inlineStr">
        <is>
          <t>sie lässt sich jederzeit ändern. Damit das Fahrtenbuch anerkannt wird,</t>
        </is>
      </c>
    </row>
    <row r="39">
      <c r="B39" s="2" t="inlineStr">
        <is>
          <t>musst du es regelmäßig (mindestens monatlich) ausdrucken oder als PDF</t>
        </is>
      </c>
    </row>
    <row r="40">
      <c r="B40" s="2" t="inlineStr">
        <is>
          <t>sichern und diese Fassung unverändert aufbewahren.</t>
        </is>
      </c>
    </row>
    <row r="41">
      <c r="B41" s="2" t="inlineStr"/>
    </row>
    <row r="42">
      <c r="B42" s="2" t="inlineStr">
        <is>
          <t>Nutze diese Datei als Erfassungshilfe — der Nachweis ist der monatliche</t>
        </is>
      </c>
    </row>
    <row r="43">
      <c r="B43" s="2" t="inlineStr">
        <is>
          <t>Ausdruck. Wer das nicht macht, riskiert, dass das Finanzamt das gesamte</t>
        </is>
      </c>
    </row>
    <row r="44">
      <c r="B44" s="2" t="inlineStr">
        <is>
          <t>Fahrtenbuch verwirft und die 1-%-Regelung ansetzt. Rückwirkend.</t>
        </is>
      </c>
    </row>
    <row r="45">
      <c r="B45" s="2" t="inlineStr"/>
    </row>
    <row r="46">
      <c r="B46" s="3" t="inlineStr">
        <is>
          <t>Hinweis</t>
        </is>
      </c>
    </row>
    <row r="47">
      <c r="B47" s="2" t="inlineStr">
        <is>
          <t>Diese Vorlage ist eine Arbeitshilfe, keine Steuerberatung. Die Anerkennung</t>
        </is>
      </c>
    </row>
    <row r="48">
      <c r="B48" s="2" t="inlineStr">
        <is>
          <t>entscheidet im Einzelfall das Finanzamt. Stand: August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46" customWidth="1" min="4" max="4"/>
  </cols>
  <sheetData>
    <row r="2">
      <c r="B2" s="5" t="inlineStr">
        <is>
          <t>Fahrzeugdaten</t>
        </is>
      </c>
    </row>
    <row r="3">
      <c r="B3" s="6" t="inlineStr">
        <is>
          <t>Einmalig ausfüllen.</t>
        </is>
      </c>
    </row>
    <row r="5">
      <c r="B5" s="7" t="inlineStr">
        <is>
          <t>Fahrzeug (Marke, Modell)</t>
        </is>
      </c>
      <c r="C5" s="8" t="inlineStr">
        <is>
          <t>VW Caddy</t>
        </is>
      </c>
    </row>
    <row r="6">
      <c r="B6" s="7" t="inlineStr">
        <is>
          <t>Amtliches Kennzeichen</t>
        </is>
      </c>
      <c r="C6" s="8" t="inlineStr">
        <is>
          <t>KN-XY 123</t>
        </is>
      </c>
    </row>
    <row r="7">
      <c r="B7" s="7" t="inlineStr">
        <is>
          <t>Bruttolistenpreis bei Erstzulassung</t>
        </is>
      </c>
      <c r="C7" s="9" t="n">
        <v>32000</v>
      </c>
      <c r="D7" s="10" t="inlineStr">
        <is>
          <t>Neupreis laut Liste, auch bei Gebrauchtkauf. Basis für die 1-%-Regelung.</t>
        </is>
      </c>
    </row>
    <row r="8">
      <c r="B8" s="7" t="inlineStr">
        <is>
          <t>Kilometerstand am 1.1.</t>
        </is>
      </c>
      <c r="C8" s="8" t="n">
        <v>15000</v>
      </c>
    </row>
    <row r="9">
      <c r="B9" s="7" t="inlineStr">
        <is>
          <t>Wirtschaftsjahr</t>
        </is>
      </c>
      <c r="C9" s="8" t="n">
        <v>2026</v>
      </c>
    </row>
    <row r="10">
      <c r="B10" s="7" t="inlineStr">
        <is>
          <t>Entfernung Wohnung–Betrieb (km)</t>
        </is>
      </c>
      <c r="C10" s="8" t="n">
        <v>12</v>
      </c>
      <c r="D10" s="10" t="inlineStr">
        <is>
          <t>Einfache Strecke. Für die Pendlerpauschale.</t>
        </is>
      </c>
    </row>
    <row r="11">
      <c r="B11" s="7" t="inlineStr">
        <is>
          <t>Gesamtkosten Fahrzeug pro Jahr</t>
        </is>
      </c>
      <c r="C11" s="9" t="n">
        <v>6800</v>
      </c>
      <c r="D11" s="10" t="inlineStr">
        <is>
          <t>Abschreibung, Sprit, Versicherung, Wartung, Steuer.</t>
        </is>
      </c>
    </row>
    <row r="12">
      <c r="B12" s="7" t="inlineStr">
        <is>
          <t>Persönlicher Steuersatz</t>
        </is>
      </c>
      <c r="C12" s="11" t="n">
        <v>0.3</v>
      </c>
      <c r="D12" s="10" t="inlineStr">
        <is>
          <t>Grobe Näherung für den Vergleich.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2" customWidth="1" min="5" max="5"/>
    <col width="32" customWidth="1" min="6" max="6"/>
    <col width="30" customWidth="1" min="7" max="7"/>
    <col width="28" customWidth="1" min="8" max="8"/>
    <col width="26" customWidth="1" min="9" max="9"/>
  </cols>
  <sheetData>
    <row r="1">
      <c r="A1" s="5" t="inlineStr">
        <is>
          <t>Fahrtenbuch</t>
        </is>
      </c>
    </row>
    <row r="2">
      <c r="A2" s="6" t="inlineStr">
        <is>
          <t>Jede Fahrt sofort eintragen. Am Monatsende ausdrucken und aufbewahren.</t>
        </is>
      </c>
    </row>
    <row r="4" ht="28" customHeight="1">
      <c r="A4" s="12" t="inlineStr">
        <is>
          <t>Datum</t>
        </is>
      </c>
      <c r="B4" s="12" t="inlineStr">
        <is>
          <t>km Beginn</t>
        </is>
      </c>
      <c r="C4" s="12" t="inlineStr">
        <is>
          <t>km Ende</t>
        </is>
      </c>
      <c r="D4" s="12" t="inlineStr">
        <is>
          <t>gefahren</t>
        </is>
      </c>
      <c r="E4" s="12" t="inlineStr">
        <is>
          <t>Art der Fahrt</t>
        </is>
      </c>
      <c r="F4" s="12" t="inlineStr">
        <is>
          <t>Reiseziel (Ort, Straße)</t>
        </is>
      </c>
      <c r="G4" s="12" t="inlineStr">
        <is>
          <t>Reisezweck</t>
        </is>
      </c>
      <c r="H4" s="12" t="inlineStr">
        <is>
          <t>Geschäftspartner / Kunde</t>
        </is>
      </c>
      <c r="I4" s="12" t="inlineStr">
        <is>
          <t>Prüfung</t>
        </is>
      </c>
    </row>
    <row r="5">
      <c r="A5" s="13" t="inlineStr">
        <is>
          <t>2026-01-08</t>
        </is>
      </c>
      <c r="B5" s="14" t="n">
        <v>15000</v>
      </c>
      <c r="C5" s="14" t="n">
        <v>15042</v>
      </c>
      <c r="D5" s="15">
        <f>IF(OR(B5="",C5=""),"",C5-B5)</f>
        <v/>
      </c>
      <c r="E5" s="14" t="inlineStr">
        <is>
          <t>betrieblich</t>
        </is>
      </c>
      <c r="F5" s="14" t="inlineStr">
        <is>
          <t>Singen, Industriestr. 4</t>
        </is>
      </c>
      <c r="G5" s="14" t="inlineStr">
        <is>
          <t>Standortbesichtigung</t>
        </is>
      </c>
      <c r="H5" s="14" t="inlineStr">
        <is>
          <t>Muster GmbH</t>
        </is>
      </c>
      <c r="I5" s="16">
        <f>IF(A5="","",IF(C5&lt;B5,"km Ende &lt; km Beginn",IF(AND(ROW()&gt;5,B5&lt;&gt;"",INDEX($C$5:$C$404,ROW()-5)&lt;&gt;"",B5&lt;&gt;INDEX($C$5:$C$404,ROW()-5)),"LÜCKE im km-Stand",IF(AND(E5="betrieblich",OR(F5="",G5="",H5="")),"Pflichtangabe fehlt","ok"))))</f>
        <v/>
      </c>
    </row>
    <row r="6">
      <c r="A6" s="13" t="n"/>
      <c r="B6" s="14" t="n"/>
      <c r="C6" s="14" t="n"/>
      <c r="D6" s="15">
        <f>IF(OR(B6="",C6=""),"",C6-B6)</f>
        <v/>
      </c>
      <c r="E6" s="14" t="n"/>
      <c r="F6" s="14" t="n"/>
      <c r="G6" s="14" t="n"/>
      <c r="H6" s="14" t="n"/>
      <c r="I6" s="16">
        <f>IF(A6="","",IF(C6&lt;B6,"km Ende &lt; km Beginn",IF(AND(ROW()&gt;5,B6&lt;&gt;"",INDEX($C$5:$C$404,ROW()-5)&lt;&gt;"",B6&lt;&gt;INDEX($C$5:$C$404,ROW()-5)),"LÜCKE im km-Stand",IF(AND(E6="betrieblich",OR(F6="",G6="",H6="")),"Pflichtangabe fehlt","ok"))))</f>
        <v/>
      </c>
    </row>
    <row r="7">
      <c r="A7" s="13" t="n"/>
      <c r="B7" s="14" t="n"/>
      <c r="C7" s="14" t="n"/>
      <c r="D7" s="15">
        <f>IF(OR(B7="",C7=""),"",C7-B7)</f>
        <v/>
      </c>
      <c r="E7" s="14" t="n"/>
      <c r="F7" s="14" t="n"/>
      <c r="G7" s="14" t="n"/>
      <c r="H7" s="14" t="n"/>
      <c r="I7" s="16">
        <f>IF(A7="","",IF(C7&lt;B7,"km Ende &lt; km Beginn",IF(AND(ROW()&gt;5,B7&lt;&gt;"",INDEX($C$5:$C$404,ROW()-5)&lt;&gt;"",B7&lt;&gt;INDEX($C$5:$C$404,ROW()-5)),"LÜCKE im km-Stand",IF(AND(E7="betrieblich",OR(F7="",G7="",H7="")),"Pflichtangabe fehlt","ok"))))</f>
        <v/>
      </c>
    </row>
    <row r="8">
      <c r="A8" s="13" t="n"/>
      <c r="B8" s="14" t="n"/>
      <c r="C8" s="14" t="n"/>
      <c r="D8" s="15">
        <f>IF(OR(B8="",C8=""),"",C8-B8)</f>
        <v/>
      </c>
      <c r="E8" s="14" t="n"/>
      <c r="F8" s="14" t="n"/>
      <c r="G8" s="14" t="n"/>
      <c r="H8" s="14" t="n"/>
      <c r="I8" s="16">
        <f>IF(A8="","",IF(C8&lt;B8,"km Ende &lt; km Beginn",IF(AND(ROW()&gt;5,B8&lt;&gt;"",INDEX($C$5:$C$404,ROW()-5)&lt;&gt;"",B8&lt;&gt;INDEX($C$5:$C$404,ROW()-5)),"LÜCKE im km-Stand",IF(AND(E8="betrieblich",OR(F8="",G8="",H8="")),"Pflichtangabe fehlt","ok"))))</f>
        <v/>
      </c>
    </row>
    <row r="9">
      <c r="A9" s="13" t="n"/>
      <c r="B9" s="14" t="n"/>
      <c r="C9" s="14" t="n"/>
      <c r="D9" s="15">
        <f>IF(OR(B9="",C9=""),"",C9-B9)</f>
        <v/>
      </c>
      <c r="E9" s="14" t="n"/>
      <c r="F9" s="14" t="n"/>
      <c r="G9" s="14" t="n"/>
      <c r="H9" s="14" t="n"/>
      <c r="I9" s="16">
        <f>IF(A9="","",IF(C9&lt;B9,"km Ende &lt; km Beginn",IF(AND(ROW()&gt;5,B9&lt;&gt;"",INDEX($C$5:$C$404,ROW()-5)&lt;&gt;"",B9&lt;&gt;INDEX($C$5:$C$404,ROW()-5)),"LÜCKE im km-Stand",IF(AND(E9="betrieblich",OR(F9="",G9="",H9="")),"Pflichtangabe fehlt","ok"))))</f>
        <v/>
      </c>
    </row>
    <row r="10">
      <c r="A10" s="13" t="n"/>
      <c r="B10" s="14" t="n"/>
      <c r="C10" s="14" t="n"/>
      <c r="D10" s="15">
        <f>IF(OR(B10="",C10=""),"",C10-B10)</f>
        <v/>
      </c>
      <c r="E10" s="14" t="n"/>
      <c r="F10" s="14" t="n"/>
      <c r="G10" s="14" t="n"/>
      <c r="H10" s="14" t="n"/>
      <c r="I10" s="16">
        <f>IF(A10="","",IF(C10&lt;B10,"km Ende &lt; km Beginn",IF(AND(ROW()&gt;5,B10&lt;&gt;"",INDEX($C$5:$C$404,ROW()-5)&lt;&gt;"",B10&lt;&gt;INDEX($C$5:$C$404,ROW()-5)),"LÜCKE im km-Stand",IF(AND(E10="betrieblich",OR(F10="",G10="",H10="")),"Pflichtangabe fehlt","ok"))))</f>
        <v/>
      </c>
    </row>
    <row r="11">
      <c r="A11" s="13" t="n"/>
      <c r="B11" s="14" t="n"/>
      <c r="C11" s="14" t="n"/>
      <c r="D11" s="15">
        <f>IF(OR(B11="",C11=""),"",C11-B11)</f>
        <v/>
      </c>
      <c r="E11" s="14" t="n"/>
      <c r="F11" s="14" t="n"/>
      <c r="G11" s="14" t="n"/>
      <c r="H11" s="14" t="n"/>
      <c r="I11" s="16">
        <f>IF(A11="","",IF(C11&lt;B11,"km Ende &lt; km Beginn",IF(AND(ROW()&gt;5,B11&lt;&gt;"",INDEX($C$5:$C$404,ROW()-5)&lt;&gt;"",B11&lt;&gt;INDEX($C$5:$C$404,ROW()-5)),"LÜCKE im km-Stand",IF(AND(E11="betrieblich",OR(F11="",G11="",H11="")),"Pflichtangabe fehlt","ok"))))</f>
        <v/>
      </c>
    </row>
    <row r="12">
      <c r="A12" s="13" t="n"/>
      <c r="B12" s="14" t="n"/>
      <c r="C12" s="14" t="n"/>
      <c r="D12" s="15">
        <f>IF(OR(B12="",C12=""),"",C12-B12)</f>
        <v/>
      </c>
      <c r="E12" s="14" t="n"/>
      <c r="F12" s="14" t="n"/>
      <c r="G12" s="14" t="n"/>
      <c r="H12" s="14" t="n"/>
      <c r="I12" s="16">
        <f>IF(A12="","",IF(C12&lt;B12,"km Ende &lt; km Beginn",IF(AND(ROW()&gt;5,B12&lt;&gt;"",INDEX($C$5:$C$404,ROW()-5)&lt;&gt;"",B12&lt;&gt;INDEX($C$5:$C$404,ROW()-5)),"LÜCKE im km-Stand",IF(AND(E12="betrieblich",OR(F12="",G12="",H12="")),"Pflichtangabe fehlt","ok"))))</f>
        <v/>
      </c>
    </row>
    <row r="13">
      <c r="A13" s="13" t="n"/>
      <c r="B13" s="14" t="n"/>
      <c r="C13" s="14" t="n"/>
      <c r="D13" s="15">
        <f>IF(OR(B13="",C13=""),"",C13-B13)</f>
        <v/>
      </c>
      <c r="E13" s="14" t="n"/>
      <c r="F13" s="14" t="n"/>
      <c r="G13" s="14" t="n"/>
      <c r="H13" s="14" t="n"/>
      <c r="I13" s="16">
        <f>IF(A13="","",IF(C13&lt;B13,"km Ende &lt; km Beginn",IF(AND(ROW()&gt;5,B13&lt;&gt;"",INDEX($C$5:$C$404,ROW()-5)&lt;&gt;"",B13&lt;&gt;INDEX($C$5:$C$404,ROW()-5)),"LÜCKE im km-Stand",IF(AND(E13="betrieblich",OR(F13="",G13="",H13="")),"Pflichtangabe fehlt","ok"))))</f>
        <v/>
      </c>
    </row>
    <row r="14">
      <c r="A14" s="13" t="n"/>
      <c r="B14" s="14" t="n"/>
      <c r="C14" s="14" t="n"/>
      <c r="D14" s="15">
        <f>IF(OR(B14="",C14=""),"",C14-B14)</f>
        <v/>
      </c>
      <c r="E14" s="14" t="n"/>
      <c r="F14" s="14" t="n"/>
      <c r="G14" s="14" t="n"/>
      <c r="H14" s="14" t="n"/>
      <c r="I14" s="16">
        <f>IF(A14="","",IF(C14&lt;B14,"km Ende &lt; km Beginn",IF(AND(ROW()&gt;5,B14&lt;&gt;"",INDEX($C$5:$C$404,ROW()-5)&lt;&gt;"",B14&lt;&gt;INDEX($C$5:$C$404,ROW()-5)),"LÜCKE im km-Stand",IF(AND(E14="betrieblich",OR(F14="",G14="",H14="")),"Pflichtangabe fehlt","ok"))))</f>
        <v/>
      </c>
    </row>
    <row r="15">
      <c r="A15" s="13" t="n"/>
      <c r="B15" s="14" t="n"/>
      <c r="C15" s="14" t="n"/>
      <c r="D15" s="15">
        <f>IF(OR(B15="",C15=""),"",C15-B15)</f>
        <v/>
      </c>
      <c r="E15" s="14" t="n"/>
      <c r="F15" s="14" t="n"/>
      <c r="G15" s="14" t="n"/>
      <c r="H15" s="14" t="n"/>
      <c r="I15" s="16">
        <f>IF(A15="","",IF(C15&lt;B15,"km Ende &lt; km Beginn",IF(AND(ROW()&gt;5,B15&lt;&gt;"",INDEX($C$5:$C$404,ROW()-5)&lt;&gt;"",B15&lt;&gt;INDEX($C$5:$C$404,ROW()-5)),"LÜCKE im km-Stand",IF(AND(E15="betrieblich",OR(F15="",G15="",H15="")),"Pflichtangabe fehlt","ok"))))</f>
        <v/>
      </c>
    </row>
    <row r="16">
      <c r="A16" s="13" t="n"/>
      <c r="B16" s="14" t="n"/>
      <c r="C16" s="14" t="n"/>
      <c r="D16" s="15">
        <f>IF(OR(B16="",C16=""),"",C16-B16)</f>
        <v/>
      </c>
      <c r="E16" s="14" t="n"/>
      <c r="F16" s="14" t="n"/>
      <c r="G16" s="14" t="n"/>
      <c r="H16" s="14" t="n"/>
      <c r="I16" s="16">
        <f>IF(A16="","",IF(C16&lt;B16,"km Ende &lt; km Beginn",IF(AND(ROW()&gt;5,B16&lt;&gt;"",INDEX($C$5:$C$404,ROW()-5)&lt;&gt;"",B16&lt;&gt;INDEX($C$5:$C$404,ROW()-5)),"LÜCKE im km-Stand",IF(AND(E16="betrieblich",OR(F16="",G16="",H16="")),"Pflichtangabe fehlt","ok"))))</f>
        <v/>
      </c>
    </row>
    <row r="17">
      <c r="A17" s="13" t="n"/>
      <c r="B17" s="14" t="n"/>
      <c r="C17" s="14" t="n"/>
      <c r="D17" s="15">
        <f>IF(OR(B17="",C17=""),"",C17-B17)</f>
        <v/>
      </c>
      <c r="E17" s="14" t="n"/>
      <c r="F17" s="14" t="n"/>
      <c r="G17" s="14" t="n"/>
      <c r="H17" s="14" t="n"/>
      <c r="I17" s="16">
        <f>IF(A17="","",IF(C17&lt;B17,"km Ende &lt; km Beginn",IF(AND(ROW()&gt;5,B17&lt;&gt;"",INDEX($C$5:$C$404,ROW()-5)&lt;&gt;"",B17&lt;&gt;INDEX($C$5:$C$404,ROW()-5)),"LÜCKE im km-Stand",IF(AND(E17="betrieblich",OR(F17="",G17="",H17="")),"Pflichtangabe fehlt","ok"))))</f>
        <v/>
      </c>
    </row>
    <row r="18">
      <c r="A18" s="13" t="n"/>
      <c r="B18" s="14" t="n"/>
      <c r="C18" s="14" t="n"/>
      <c r="D18" s="15">
        <f>IF(OR(B18="",C18=""),"",C18-B18)</f>
        <v/>
      </c>
      <c r="E18" s="14" t="n"/>
      <c r="F18" s="14" t="n"/>
      <c r="G18" s="14" t="n"/>
      <c r="H18" s="14" t="n"/>
      <c r="I18" s="16">
        <f>IF(A18="","",IF(C18&lt;B18,"km Ende &lt; km Beginn",IF(AND(ROW()&gt;5,B18&lt;&gt;"",INDEX($C$5:$C$404,ROW()-5)&lt;&gt;"",B18&lt;&gt;INDEX($C$5:$C$404,ROW()-5)),"LÜCKE im km-Stand",IF(AND(E18="betrieblich",OR(F18="",G18="",H18="")),"Pflichtangabe fehlt","ok"))))</f>
        <v/>
      </c>
    </row>
    <row r="19">
      <c r="A19" s="13" t="n"/>
      <c r="B19" s="14" t="n"/>
      <c r="C19" s="14" t="n"/>
      <c r="D19" s="15">
        <f>IF(OR(B19="",C19=""),"",C19-B19)</f>
        <v/>
      </c>
      <c r="E19" s="14" t="n"/>
      <c r="F19" s="14" t="n"/>
      <c r="G19" s="14" t="n"/>
      <c r="H19" s="14" t="n"/>
      <c r="I19" s="16">
        <f>IF(A19="","",IF(C19&lt;B19,"km Ende &lt; km Beginn",IF(AND(ROW()&gt;5,B19&lt;&gt;"",INDEX($C$5:$C$404,ROW()-5)&lt;&gt;"",B19&lt;&gt;INDEX($C$5:$C$404,ROW()-5)),"LÜCKE im km-Stand",IF(AND(E19="betrieblich",OR(F19="",G19="",H19="")),"Pflichtangabe fehlt","ok"))))</f>
        <v/>
      </c>
    </row>
    <row r="20">
      <c r="A20" s="13" t="n"/>
      <c r="B20" s="14" t="n"/>
      <c r="C20" s="14" t="n"/>
      <c r="D20" s="15">
        <f>IF(OR(B20="",C20=""),"",C20-B20)</f>
        <v/>
      </c>
      <c r="E20" s="14" t="n"/>
      <c r="F20" s="14" t="n"/>
      <c r="G20" s="14" t="n"/>
      <c r="H20" s="14" t="n"/>
      <c r="I20" s="16">
        <f>IF(A20="","",IF(C20&lt;B20,"km Ende &lt; km Beginn",IF(AND(ROW()&gt;5,B20&lt;&gt;"",INDEX($C$5:$C$404,ROW()-5)&lt;&gt;"",B20&lt;&gt;INDEX($C$5:$C$404,ROW()-5)),"LÜCKE im km-Stand",IF(AND(E20="betrieblich",OR(F20="",G20="",H20="")),"Pflichtangabe fehlt","ok"))))</f>
        <v/>
      </c>
    </row>
    <row r="21">
      <c r="A21" s="13" t="n"/>
      <c r="B21" s="14" t="n"/>
      <c r="C21" s="14" t="n"/>
      <c r="D21" s="15">
        <f>IF(OR(B21="",C21=""),"",C21-B21)</f>
        <v/>
      </c>
      <c r="E21" s="14" t="n"/>
      <c r="F21" s="14" t="n"/>
      <c r="G21" s="14" t="n"/>
      <c r="H21" s="14" t="n"/>
      <c r="I21" s="16">
        <f>IF(A21="","",IF(C21&lt;B21,"km Ende &lt; km Beginn",IF(AND(ROW()&gt;5,B21&lt;&gt;"",INDEX($C$5:$C$404,ROW()-5)&lt;&gt;"",B21&lt;&gt;INDEX($C$5:$C$404,ROW()-5)),"LÜCKE im km-Stand",IF(AND(E21="betrieblich",OR(F21="",G21="",H21="")),"Pflichtangabe fehlt","ok"))))</f>
        <v/>
      </c>
    </row>
    <row r="22">
      <c r="A22" s="13" t="n"/>
      <c r="B22" s="14" t="n"/>
      <c r="C22" s="14" t="n"/>
      <c r="D22" s="15">
        <f>IF(OR(B22="",C22=""),"",C22-B22)</f>
        <v/>
      </c>
      <c r="E22" s="14" t="n"/>
      <c r="F22" s="14" t="n"/>
      <c r="G22" s="14" t="n"/>
      <c r="H22" s="14" t="n"/>
      <c r="I22" s="16">
        <f>IF(A22="","",IF(C22&lt;B22,"km Ende &lt; km Beginn",IF(AND(ROW()&gt;5,B22&lt;&gt;"",INDEX($C$5:$C$404,ROW()-5)&lt;&gt;"",B22&lt;&gt;INDEX($C$5:$C$404,ROW()-5)),"LÜCKE im km-Stand",IF(AND(E22="betrieblich",OR(F22="",G22="",H22="")),"Pflichtangabe fehlt","ok"))))</f>
        <v/>
      </c>
    </row>
    <row r="23">
      <c r="A23" s="13" t="n"/>
      <c r="B23" s="14" t="n"/>
      <c r="C23" s="14" t="n"/>
      <c r="D23" s="15">
        <f>IF(OR(B23="",C23=""),"",C23-B23)</f>
        <v/>
      </c>
      <c r="E23" s="14" t="n"/>
      <c r="F23" s="14" t="n"/>
      <c r="G23" s="14" t="n"/>
      <c r="H23" s="14" t="n"/>
      <c r="I23" s="16">
        <f>IF(A23="","",IF(C23&lt;B23,"km Ende &lt; km Beginn",IF(AND(ROW()&gt;5,B23&lt;&gt;"",INDEX($C$5:$C$404,ROW()-5)&lt;&gt;"",B23&lt;&gt;INDEX($C$5:$C$404,ROW()-5)),"LÜCKE im km-Stand",IF(AND(E23="betrieblich",OR(F23="",G23="",H23="")),"Pflichtangabe fehlt","ok"))))</f>
        <v/>
      </c>
    </row>
    <row r="24">
      <c r="A24" s="13" t="n"/>
      <c r="B24" s="14" t="n"/>
      <c r="C24" s="14" t="n"/>
      <c r="D24" s="15">
        <f>IF(OR(B24="",C24=""),"",C24-B24)</f>
        <v/>
      </c>
      <c r="E24" s="14" t="n"/>
      <c r="F24" s="14" t="n"/>
      <c r="G24" s="14" t="n"/>
      <c r="H24" s="14" t="n"/>
      <c r="I24" s="16">
        <f>IF(A24="","",IF(C24&lt;B24,"km Ende &lt; km Beginn",IF(AND(ROW()&gt;5,B24&lt;&gt;"",INDEX($C$5:$C$404,ROW()-5)&lt;&gt;"",B24&lt;&gt;INDEX($C$5:$C$404,ROW()-5)),"LÜCKE im km-Stand",IF(AND(E24="betrieblich",OR(F24="",G24="",H24="")),"Pflichtangabe fehlt","ok"))))</f>
        <v/>
      </c>
    </row>
    <row r="25">
      <c r="A25" s="13" t="n"/>
      <c r="B25" s="14" t="n"/>
      <c r="C25" s="14" t="n"/>
      <c r="D25" s="15">
        <f>IF(OR(B25="",C25=""),"",C25-B25)</f>
        <v/>
      </c>
      <c r="E25" s="14" t="n"/>
      <c r="F25" s="14" t="n"/>
      <c r="G25" s="14" t="n"/>
      <c r="H25" s="14" t="n"/>
      <c r="I25" s="16">
        <f>IF(A25="","",IF(C25&lt;B25,"km Ende &lt; km Beginn",IF(AND(ROW()&gt;5,B25&lt;&gt;"",INDEX($C$5:$C$404,ROW()-5)&lt;&gt;"",B25&lt;&gt;INDEX($C$5:$C$404,ROW()-5)),"LÜCKE im km-Stand",IF(AND(E25="betrieblich",OR(F25="",G25="",H25="")),"Pflichtangabe fehlt","ok"))))</f>
        <v/>
      </c>
    </row>
    <row r="26">
      <c r="A26" s="13" t="n"/>
      <c r="B26" s="14" t="n"/>
      <c r="C26" s="14" t="n"/>
      <c r="D26" s="15">
        <f>IF(OR(B26="",C26=""),"",C26-B26)</f>
        <v/>
      </c>
      <c r="E26" s="14" t="n"/>
      <c r="F26" s="14" t="n"/>
      <c r="G26" s="14" t="n"/>
      <c r="H26" s="14" t="n"/>
      <c r="I26" s="16">
        <f>IF(A26="","",IF(C26&lt;B26,"km Ende &lt; km Beginn",IF(AND(ROW()&gt;5,B26&lt;&gt;"",INDEX($C$5:$C$404,ROW()-5)&lt;&gt;"",B26&lt;&gt;INDEX($C$5:$C$404,ROW()-5)),"LÜCKE im km-Stand",IF(AND(E26="betrieblich",OR(F26="",G26="",H26="")),"Pflichtangabe fehlt","ok"))))</f>
        <v/>
      </c>
    </row>
    <row r="27">
      <c r="A27" s="13" t="n"/>
      <c r="B27" s="14" t="n"/>
      <c r="C27" s="14" t="n"/>
      <c r="D27" s="15">
        <f>IF(OR(B27="",C27=""),"",C27-B27)</f>
        <v/>
      </c>
      <c r="E27" s="14" t="n"/>
      <c r="F27" s="14" t="n"/>
      <c r="G27" s="14" t="n"/>
      <c r="H27" s="14" t="n"/>
      <c r="I27" s="16">
        <f>IF(A27="","",IF(C27&lt;B27,"km Ende &lt; km Beginn",IF(AND(ROW()&gt;5,B27&lt;&gt;"",INDEX($C$5:$C$404,ROW()-5)&lt;&gt;"",B27&lt;&gt;INDEX($C$5:$C$404,ROW()-5)),"LÜCKE im km-Stand",IF(AND(E27="betrieblich",OR(F27="",G27="",H27="")),"Pflichtangabe fehlt","ok"))))</f>
        <v/>
      </c>
    </row>
    <row r="28">
      <c r="A28" s="13" t="n"/>
      <c r="B28" s="14" t="n"/>
      <c r="C28" s="14" t="n"/>
      <c r="D28" s="15">
        <f>IF(OR(B28="",C28=""),"",C28-B28)</f>
        <v/>
      </c>
      <c r="E28" s="14" t="n"/>
      <c r="F28" s="14" t="n"/>
      <c r="G28" s="14" t="n"/>
      <c r="H28" s="14" t="n"/>
      <c r="I28" s="16">
        <f>IF(A28="","",IF(C28&lt;B28,"km Ende &lt; km Beginn",IF(AND(ROW()&gt;5,B28&lt;&gt;"",INDEX($C$5:$C$404,ROW()-5)&lt;&gt;"",B28&lt;&gt;INDEX($C$5:$C$404,ROW()-5)),"LÜCKE im km-Stand",IF(AND(E28="betrieblich",OR(F28="",G28="",H28="")),"Pflichtangabe fehlt","ok"))))</f>
        <v/>
      </c>
    </row>
    <row r="29">
      <c r="A29" s="13" t="n"/>
      <c r="B29" s="14" t="n"/>
      <c r="C29" s="14" t="n"/>
      <c r="D29" s="15">
        <f>IF(OR(B29="",C29=""),"",C29-B29)</f>
        <v/>
      </c>
      <c r="E29" s="14" t="n"/>
      <c r="F29" s="14" t="n"/>
      <c r="G29" s="14" t="n"/>
      <c r="H29" s="14" t="n"/>
      <c r="I29" s="16">
        <f>IF(A29="","",IF(C29&lt;B29,"km Ende &lt; km Beginn",IF(AND(ROW()&gt;5,B29&lt;&gt;"",INDEX($C$5:$C$404,ROW()-5)&lt;&gt;"",B29&lt;&gt;INDEX($C$5:$C$404,ROW()-5)),"LÜCKE im km-Stand",IF(AND(E29="betrieblich",OR(F29="",G29="",H29="")),"Pflichtangabe fehlt","ok"))))</f>
        <v/>
      </c>
    </row>
    <row r="30">
      <c r="A30" s="13" t="n"/>
      <c r="B30" s="14" t="n"/>
      <c r="C30" s="14" t="n"/>
      <c r="D30" s="15">
        <f>IF(OR(B30="",C30=""),"",C30-B30)</f>
        <v/>
      </c>
      <c r="E30" s="14" t="n"/>
      <c r="F30" s="14" t="n"/>
      <c r="G30" s="14" t="n"/>
      <c r="H30" s="14" t="n"/>
      <c r="I30" s="16">
        <f>IF(A30="","",IF(C30&lt;B30,"km Ende &lt; km Beginn",IF(AND(ROW()&gt;5,B30&lt;&gt;"",INDEX($C$5:$C$404,ROW()-5)&lt;&gt;"",B30&lt;&gt;INDEX($C$5:$C$404,ROW()-5)),"LÜCKE im km-Stand",IF(AND(E30="betrieblich",OR(F30="",G30="",H30="")),"Pflichtangabe fehlt","ok"))))</f>
        <v/>
      </c>
    </row>
    <row r="31">
      <c r="A31" s="13" t="n"/>
      <c r="B31" s="14" t="n"/>
      <c r="C31" s="14" t="n"/>
      <c r="D31" s="15">
        <f>IF(OR(B31="",C31=""),"",C31-B31)</f>
        <v/>
      </c>
      <c r="E31" s="14" t="n"/>
      <c r="F31" s="14" t="n"/>
      <c r="G31" s="14" t="n"/>
      <c r="H31" s="14" t="n"/>
      <c r="I31" s="16">
        <f>IF(A31="","",IF(C31&lt;B31,"km Ende &lt; km Beginn",IF(AND(ROW()&gt;5,B31&lt;&gt;"",INDEX($C$5:$C$404,ROW()-5)&lt;&gt;"",B31&lt;&gt;INDEX($C$5:$C$404,ROW()-5)),"LÜCKE im km-Stand",IF(AND(E31="betrieblich",OR(F31="",G31="",H31="")),"Pflichtangabe fehlt","ok"))))</f>
        <v/>
      </c>
    </row>
    <row r="32">
      <c r="A32" s="13" t="n"/>
      <c r="B32" s="14" t="n"/>
      <c r="C32" s="14" t="n"/>
      <c r="D32" s="15">
        <f>IF(OR(B32="",C32=""),"",C32-B32)</f>
        <v/>
      </c>
      <c r="E32" s="14" t="n"/>
      <c r="F32" s="14" t="n"/>
      <c r="G32" s="14" t="n"/>
      <c r="H32" s="14" t="n"/>
      <c r="I32" s="16">
        <f>IF(A32="","",IF(C32&lt;B32,"km Ende &lt; km Beginn",IF(AND(ROW()&gt;5,B32&lt;&gt;"",INDEX($C$5:$C$404,ROW()-5)&lt;&gt;"",B32&lt;&gt;INDEX($C$5:$C$404,ROW()-5)),"LÜCKE im km-Stand",IF(AND(E32="betrieblich",OR(F32="",G32="",H32="")),"Pflichtangabe fehlt","ok"))))</f>
        <v/>
      </c>
    </row>
    <row r="33">
      <c r="A33" s="13" t="n"/>
      <c r="B33" s="14" t="n"/>
      <c r="C33" s="14" t="n"/>
      <c r="D33" s="15">
        <f>IF(OR(B33="",C33=""),"",C33-B33)</f>
        <v/>
      </c>
      <c r="E33" s="14" t="n"/>
      <c r="F33" s="14" t="n"/>
      <c r="G33" s="14" t="n"/>
      <c r="H33" s="14" t="n"/>
      <c r="I33" s="16">
        <f>IF(A33="","",IF(C33&lt;B33,"km Ende &lt; km Beginn",IF(AND(ROW()&gt;5,B33&lt;&gt;"",INDEX($C$5:$C$404,ROW()-5)&lt;&gt;"",B33&lt;&gt;INDEX($C$5:$C$404,ROW()-5)),"LÜCKE im km-Stand",IF(AND(E33="betrieblich",OR(F33="",G33="",H33="")),"Pflichtangabe fehlt","ok"))))</f>
        <v/>
      </c>
    </row>
    <row r="34">
      <c r="A34" s="13" t="n"/>
      <c r="B34" s="14" t="n"/>
      <c r="C34" s="14" t="n"/>
      <c r="D34" s="15">
        <f>IF(OR(B34="",C34=""),"",C34-B34)</f>
        <v/>
      </c>
      <c r="E34" s="14" t="n"/>
      <c r="F34" s="14" t="n"/>
      <c r="G34" s="14" t="n"/>
      <c r="H34" s="14" t="n"/>
      <c r="I34" s="16">
        <f>IF(A34="","",IF(C34&lt;B34,"km Ende &lt; km Beginn",IF(AND(ROW()&gt;5,B34&lt;&gt;"",INDEX($C$5:$C$404,ROW()-5)&lt;&gt;"",B34&lt;&gt;INDEX($C$5:$C$404,ROW()-5)),"LÜCKE im km-Stand",IF(AND(E34="betrieblich",OR(F34="",G34="",H34="")),"Pflichtangabe fehlt","ok"))))</f>
        <v/>
      </c>
    </row>
    <row r="35">
      <c r="A35" s="13" t="n"/>
      <c r="B35" s="14" t="n"/>
      <c r="C35" s="14" t="n"/>
      <c r="D35" s="15">
        <f>IF(OR(B35="",C35=""),"",C35-B35)</f>
        <v/>
      </c>
      <c r="E35" s="14" t="n"/>
      <c r="F35" s="14" t="n"/>
      <c r="G35" s="14" t="n"/>
      <c r="H35" s="14" t="n"/>
      <c r="I35" s="16">
        <f>IF(A35="","",IF(C35&lt;B35,"km Ende &lt; km Beginn",IF(AND(ROW()&gt;5,B35&lt;&gt;"",INDEX($C$5:$C$404,ROW()-5)&lt;&gt;"",B35&lt;&gt;INDEX($C$5:$C$404,ROW()-5)),"LÜCKE im km-Stand",IF(AND(E35="betrieblich",OR(F35="",G35="",H35="")),"Pflichtangabe fehlt","ok"))))</f>
        <v/>
      </c>
    </row>
    <row r="36">
      <c r="A36" s="13" t="n"/>
      <c r="B36" s="14" t="n"/>
      <c r="C36" s="14" t="n"/>
      <c r="D36" s="15">
        <f>IF(OR(B36="",C36=""),"",C36-B36)</f>
        <v/>
      </c>
      <c r="E36" s="14" t="n"/>
      <c r="F36" s="14" t="n"/>
      <c r="G36" s="14" t="n"/>
      <c r="H36" s="14" t="n"/>
      <c r="I36" s="16">
        <f>IF(A36="","",IF(C36&lt;B36,"km Ende &lt; km Beginn",IF(AND(ROW()&gt;5,B36&lt;&gt;"",INDEX($C$5:$C$404,ROW()-5)&lt;&gt;"",B36&lt;&gt;INDEX($C$5:$C$404,ROW()-5)),"LÜCKE im km-Stand",IF(AND(E36="betrieblich",OR(F36="",G36="",H36="")),"Pflichtangabe fehlt","ok"))))</f>
        <v/>
      </c>
    </row>
    <row r="37">
      <c r="A37" s="13" t="n"/>
      <c r="B37" s="14" t="n"/>
      <c r="C37" s="14" t="n"/>
      <c r="D37" s="15">
        <f>IF(OR(B37="",C37=""),"",C37-B37)</f>
        <v/>
      </c>
      <c r="E37" s="14" t="n"/>
      <c r="F37" s="14" t="n"/>
      <c r="G37" s="14" t="n"/>
      <c r="H37" s="14" t="n"/>
      <c r="I37" s="16">
        <f>IF(A37="","",IF(C37&lt;B37,"km Ende &lt; km Beginn",IF(AND(ROW()&gt;5,B37&lt;&gt;"",INDEX($C$5:$C$404,ROW()-5)&lt;&gt;"",B37&lt;&gt;INDEX($C$5:$C$404,ROW()-5)),"LÜCKE im km-Stand",IF(AND(E37="betrieblich",OR(F37="",G37="",H37="")),"Pflichtangabe fehlt","ok"))))</f>
        <v/>
      </c>
    </row>
    <row r="38">
      <c r="A38" s="13" t="n"/>
      <c r="B38" s="14" t="n"/>
      <c r="C38" s="14" t="n"/>
      <c r="D38" s="15">
        <f>IF(OR(B38="",C38=""),"",C38-B38)</f>
        <v/>
      </c>
      <c r="E38" s="14" t="n"/>
      <c r="F38" s="14" t="n"/>
      <c r="G38" s="14" t="n"/>
      <c r="H38" s="14" t="n"/>
      <c r="I38" s="16">
        <f>IF(A38="","",IF(C38&lt;B38,"km Ende &lt; km Beginn",IF(AND(ROW()&gt;5,B38&lt;&gt;"",INDEX($C$5:$C$404,ROW()-5)&lt;&gt;"",B38&lt;&gt;INDEX($C$5:$C$404,ROW()-5)),"LÜCKE im km-Stand",IF(AND(E38="betrieblich",OR(F38="",G38="",H38="")),"Pflichtangabe fehlt","ok"))))</f>
        <v/>
      </c>
    </row>
    <row r="39">
      <c r="A39" s="13" t="n"/>
      <c r="B39" s="14" t="n"/>
      <c r="C39" s="14" t="n"/>
      <c r="D39" s="15">
        <f>IF(OR(B39="",C39=""),"",C39-B39)</f>
        <v/>
      </c>
      <c r="E39" s="14" t="n"/>
      <c r="F39" s="14" t="n"/>
      <c r="G39" s="14" t="n"/>
      <c r="H39" s="14" t="n"/>
      <c r="I39" s="16">
        <f>IF(A39="","",IF(C39&lt;B39,"km Ende &lt; km Beginn",IF(AND(ROW()&gt;5,B39&lt;&gt;"",INDEX($C$5:$C$404,ROW()-5)&lt;&gt;"",B39&lt;&gt;INDEX($C$5:$C$404,ROW()-5)),"LÜCKE im km-Stand",IF(AND(E39="betrieblich",OR(F39="",G39="",H39="")),"Pflichtangabe fehlt","ok"))))</f>
        <v/>
      </c>
    </row>
    <row r="40">
      <c r="A40" s="13" t="n"/>
      <c r="B40" s="14" t="n"/>
      <c r="C40" s="14" t="n"/>
      <c r="D40" s="15">
        <f>IF(OR(B40="",C40=""),"",C40-B40)</f>
        <v/>
      </c>
      <c r="E40" s="14" t="n"/>
      <c r="F40" s="14" t="n"/>
      <c r="G40" s="14" t="n"/>
      <c r="H40" s="14" t="n"/>
      <c r="I40" s="16">
        <f>IF(A40="","",IF(C40&lt;B40,"km Ende &lt; km Beginn",IF(AND(ROW()&gt;5,B40&lt;&gt;"",INDEX($C$5:$C$404,ROW()-5)&lt;&gt;"",B40&lt;&gt;INDEX($C$5:$C$404,ROW()-5)),"LÜCKE im km-Stand",IF(AND(E40="betrieblich",OR(F40="",G40="",H40="")),"Pflichtangabe fehlt","ok"))))</f>
        <v/>
      </c>
    </row>
    <row r="41">
      <c r="A41" s="13" t="n"/>
      <c r="B41" s="14" t="n"/>
      <c r="C41" s="14" t="n"/>
      <c r="D41" s="15">
        <f>IF(OR(B41="",C41=""),"",C41-B41)</f>
        <v/>
      </c>
      <c r="E41" s="14" t="n"/>
      <c r="F41" s="14" t="n"/>
      <c r="G41" s="14" t="n"/>
      <c r="H41" s="14" t="n"/>
      <c r="I41" s="16">
        <f>IF(A41="","",IF(C41&lt;B41,"km Ende &lt; km Beginn",IF(AND(ROW()&gt;5,B41&lt;&gt;"",INDEX($C$5:$C$404,ROW()-5)&lt;&gt;"",B41&lt;&gt;INDEX($C$5:$C$404,ROW()-5)),"LÜCKE im km-Stand",IF(AND(E41="betrieblich",OR(F41="",G41="",H41="")),"Pflichtangabe fehlt","ok"))))</f>
        <v/>
      </c>
    </row>
    <row r="42">
      <c r="A42" s="13" t="n"/>
      <c r="B42" s="14" t="n"/>
      <c r="C42" s="14" t="n"/>
      <c r="D42" s="15">
        <f>IF(OR(B42="",C42=""),"",C42-B42)</f>
        <v/>
      </c>
      <c r="E42" s="14" t="n"/>
      <c r="F42" s="14" t="n"/>
      <c r="G42" s="14" t="n"/>
      <c r="H42" s="14" t="n"/>
      <c r="I42" s="16">
        <f>IF(A42="","",IF(C42&lt;B42,"km Ende &lt; km Beginn",IF(AND(ROW()&gt;5,B42&lt;&gt;"",INDEX($C$5:$C$404,ROW()-5)&lt;&gt;"",B42&lt;&gt;INDEX($C$5:$C$404,ROW()-5)),"LÜCKE im km-Stand",IF(AND(E42="betrieblich",OR(F42="",G42="",H42="")),"Pflichtangabe fehlt","ok"))))</f>
        <v/>
      </c>
    </row>
    <row r="43">
      <c r="A43" s="13" t="n"/>
      <c r="B43" s="14" t="n"/>
      <c r="C43" s="14" t="n"/>
      <c r="D43" s="15">
        <f>IF(OR(B43="",C43=""),"",C43-B43)</f>
        <v/>
      </c>
      <c r="E43" s="14" t="n"/>
      <c r="F43" s="14" t="n"/>
      <c r="G43" s="14" t="n"/>
      <c r="H43" s="14" t="n"/>
      <c r="I43" s="16">
        <f>IF(A43="","",IF(C43&lt;B43,"km Ende &lt; km Beginn",IF(AND(ROW()&gt;5,B43&lt;&gt;"",INDEX($C$5:$C$404,ROW()-5)&lt;&gt;"",B43&lt;&gt;INDEX($C$5:$C$404,ROW()-5)),"LÜCKE im km-Stand",IF(AND(E43="betrieblich",OR(F43="",G43="",H43="")),"Pflichtangabe fehlt","ok"))))</f>
        <v/>
      </c>
    </row>
    <row r="44">
      <c r="A44" s="13" t="n"/>
      <c r="B44" s="14" t="n"/>
      <c r="C44" s="14" t="n"/>
      <c r="D44" s="15">
        <f>IF(OR(B44="",C44=""),"",C44-B44)</f>
        <v/>
      </c>
      <c r="E44" s="14" t="n"/>
      <c r="F44" s="14" t="n"/>
      <c r="G44" s="14" t="n"/>
      <c r="H44" s="14" t="n"/>
      <c r="I44" s="16">
        <f>IF(A44="","",IF(C44&lt;B44,"km Ende &lt; km Beginn",IF(AND(ROW()&gt;5,B44&lt;&gt;"",INDEX($C$5:$C$404,ROW()-5)&lt;&gt;"",B44&lt;&gt;INDEX($C$5:$C$404,ROW()-5)),"LÜCKE im km-Stand",IF(AND(E44="betrieblich",OR(F44="",G44="",H44="")),"Pflichtangabe fehlt","ok"))))</f>
        <v/>
      </c>
    </row>
    <row r="45">
      <c r="A45" s="13" t="n"/>
      <c r="B45" s="14" t="n"/>
      <c r="C45" s="14" t="n"/>
      <c r="D45" s="15">
        <f>IF(OR(B45="",C45=""),"",C45-B45)</f>
        <v/>
      </c>
      <c r="E45" s="14" t="n"/>
      <c r="F45" s="14" t="n"/>
      <c r="G45" s="14" t="n"/>
      <c r="H45" s="14" t="n"/>
      <c r="I45" s="16">
        <f>IF(A45="","",IF(C45&lt;B45,"km Ende &lt; km Beginn",IF(AND(ROW()&gt;5,B45&lt;&gt;"",INDEX($C$5:$C$404,ROW()-5)&lt;&gt;"",B45&lt;&gt;INDEX($C$5:$C$404,ROW()-5)),"LÜCKE im km-Stand",IF(AND(E45="betrieblich",OR(F45="",G45="",H45="")),"Pflichtangabe fehlt","ok"))))</f>
        <v/>
      </c>
    </row>
    <row r="46">
      <c r="A46" s="13" t="n"/>
      <c r="B46" s="14" t="n"/>
      <c r="C46" s="14" t="n"/>
      <c r="D46" s="15">
        <f>IF(OR(B46="",C46=""),"",C46-B46)</f>
        <v/>
      </c>
      <c r="E46" s="14" t="n"/>
      <c r="F46" s="14" t="n"/>
      <c r="G46" s="14" t="n"/>
      <c r="H46" s="14" t="n"/>
      <c r="I46" s="16">
        <f>IF(A46="","",IF(C46&lt;B46,"km Ende &lt; km Beginn",IF(AND(ROW()&gt;5,B46&lt;&gt;"",INDEX($C$5:$C$404,ROW()-5)&lt;&gt;"",B46&lt;&gt;INDEX($C$5:$C$404,ROW()-5)),"LÜCKE im km-Stand",IF(AND(E46="betrieblich",OR(F46="",G46="",H46="")),"Pflichtangabe fehlt","ok"))))</f>
        <v/>
      </c>
    </row>
    <row r="47">
      <c r="A47" s="13" t="n"/>
      <c r="B47" s="14" t="n"/>
      <c r="C47" s="14" t="n"/>
      <c r="D47" s="15">
        <f>IF(OR(B47="",C47=""),"",C47-B47)</f>
        <v/>
      </c>
      <c r="E47" s="14" t="n"/>
      <c r="F47" s="14" t="n"/>
      <c r="G47" s="14" t="n"/>
      <c r="H47" s="14" t="n"/>
      <c r="I47" s="16">
        <f>IF(A47="","",IF(C47&lt;B47,"km Ende &lt; km Beginn",IF(AND(ROW()&gt;5,B47&lt;&gt;"",INDEX($C$5:$C$404,ROW()-5)&lt;&gt;"",B47&lt;&gt;INDEX($C$5:$C$404,ROW()-5)),"LÜCKE im km-Stand",IF(AND(E47="betrieblich",OR(F47="",G47="",H47="")),"Pflichtangabe fehlt","ok"))))</f>
        <v/>
      </c>
    </row>
    <row r="48">
      <c r="A48" s="13" t="n"/>
      <c r="B48" s="14" t="n"/>
      <c r="C48" s="14" t="n"/>
      <c r="D48" s="15">
        <f>IF(OR(B48="",C48=""),"",C48-B48)</f>
        <v/>
      </c>
      <c r="E48" s="14" t="n"/>
      <c r="F48" s="14" t="n"/>
      <c r="G48" s="14" t="n"/>
      <c r="H48" s="14" t="n"/>
      <c r="I48" s="16">
        <f>IF(A48="","",IF(C48&lt;B48,"km Ende &lt; km Beginn",IF(AND(ROW()&gt;5,B48&lt;&gt;"",INDEX($C$5:$C$404,ROW()-5)&lt;&gt;"",B48&lt;&gt;INDEX($C$5:$C$404,ROW()-5)),"LÜCKE im km-Stand",IF(AND(E48="betrieblich",OR(F48="",G48="",H48="")),"Pflichtangabe fehlt","ok"))))</f>
        <v/>
      </c>
    </row>
    <row r="49">
      <c r="A49" s="13" t="n"/>
      <c r="B49" s="14" t="n"/>
      <c r="C49" s="14" t="n"/>
      <c r="D49" s="15">
        <f>IF(OR(B49="",C49=""),"",C49-B49)</f>
        <v/>
      </c>
      <c r="E49" s="14" t="n"/>
      <c r="F49" s="14" t="n"/>
      <c r="G49" s="14" t="n"/>
      <c r="H49" s="14" t="n"/>
      <c r="I49" s="16">
        <f>IF(A49="","",IF(C49&lt;B49,"km Ende &lt; km Beginn",IF(AND(ROW()&gt;5,B49&lt;&gt;"",INDEX($C$5:$C$404,ROW()-5)&lt;&gt;"",B49&lt;&gt;INDEX($C$5:$C$404,ROW()-5)),"LÜCKE im km-Stand",IF(AND(E49="betrieblich",OR(F49="",G49="",H49="")),"Pflichtangabe fehlt","ok"))))</f>
        <v/>
      </c>
    </row>
    <row r="50">
      <c r="A50" s="13" t="n"/>
      <c r="B50" s="14" t="n"/>
      <c r="C50" s="14" t="n"/>
      <c r="D50" s="15">
        <f>IF(OR(B50="",C50=""),"",C50-B50)</f>
        <v/>
      </c>
      <c r="E50" s="14" t="n"/>
      <c r="F50" s="14" t="n"/>
      <c r="G50" s="14" t="n"/>
      <c r="H50" s="14" t="n"/>
      <c r="I50" s="16">
        <f>IF(A50="","",IF(C50&lt;B50,"km Ende &lt; km Beginn",IF(AND(ROW()&gt;5,B50&lt;&gt;"",INDEX($C$5:$C$404,ROW()-5)&lt;&gt;"",B50&lt;&gt;INDEX($C$5:$C$404,ROW()-5)),"LÜCKE im km-Stand",IF(AND(E50="betrieblich",OR(F50="",G50="",H50="")),"Pflichtangabe fehlt","ok"))))</f>
        <v/>
      </c>
    </row>
    <row r="51">
      <c r="A51" s="13" t="n"/>
      <c r="B51" s="14" t="n"/>
      <c r="C51" s="14" t="n"/>
      <c r="D51" s="15">
        <f>IF(OR(B51="",C51=""),"",C51-B51)</f>
        <v/>
      </c>
      <c r="E51" s="14" t="n"/>
      <c r="F51" s="14" t="n"/>
      <c r="G51" s="14" t="n"/>
      <c r="H51" s="14" t="n"/>
      <c r="I51" s="16">
        <f>IF(A51="","",IF(C51&lt;B51,"km Ende &lt; km Beginn",IF(AND(ROW()&gt;5,B51&lt;&gt;"",INDEX($C$5:$C$404,ROW()-5)&lt;&gt;"",B51&lt;&gt;INDEX($C$5:$C$404,ROW()-5)),"LÜCKE im km-Stand",IF(AND(E51="betrieblich",OR(F51="",G51="",H51="")),"Pflichtangabe fehlt","ok"))))</f>
        <v/>
      </c>
    </row>
    <row r="52">
      <c r="A52" s="13" t="n"/>
      <c r="B52" s="14" t="n"/>
      <c r="C52" s="14" t="n"/>
      <c r="D52" s="15">
        <f>IF(OR(B52="",C52=""),"",C52-B52)</f>
        <v/>
      </c>
      <c r="E52" s="14" t="n"/>
      <c r="F52" s="14" t="n"/>
      <c r="G52" s="14" t="n"/>
      <c r="H52" s="14" t="n"/>
      <c r="I52" s="16">
        <f>IF(A52="","",IF(C52&lt;B52,"km Ende &lt; km Beginn",IF(AND(ROW()&gt;5,B52&lt;&gt;"",INDEX($C$5:$C$404,ROW()-5)&lt;&gt;"",B52&lt;&gt;INDEX($C$5:$C$404,ROW()-5)),"LÜCKE im km-Stand",IF(AND(E52="betrieblich",OR(F52="",G52="",H52="")),"Pflichtangabe fehlt","ok"))))</f>
        <v/>
      </c>
    </row>
    <row r="53">
      <c r="A53" s="13" t="n"/>
      <c r="B53" s="14" t="n"/>
      <c r="C53" s="14" t="n"/>
      <c r="D53" s="15">
        <f>IF(OR(B53="",C53=""),"",C53-B53)</f>
        <v/>
      </c>
      <c r="E53" s="14" t="n"/>
      <c r="F53" s="14" t="n"/>
      <c r="G53" s="14" t="n"/>
      <c r="H53" s="14" t="n"/>
      <c r="I53" s="16">
        <f>IF(A53="","",IF(C53&lt;B53,"km Ende &lt; km Beginn",IF(AND(ROW()&gt;5,B53&lt;&gt;"",INDEX($C$5:$C$404,ROW()-5)&lt;&gt;"",B53&lt;&gt;INDEX($C$5:$C$404,ROW()-5)),"LÜCKE im km-Stand",IF(AND(E53="betrieblich",OR(F53="",G53="",H53="")),"Pflichtangabe fehlt","ok"))))</f>
        <v/>
      </c>
    </row>
    <row r="54">
      <c r="A54" s="13" t="n"/>
      <c r="B54" s="14" t="n"/>
      <c r="C54" s="14" t="n"/>
      <c r="D54" s="15">
        <f>IF(OR(B54="",C54=""),"",C54-B54)</f>
        <v/>
      </c>
      <c r="E54" s="14" t="n"/>
      <c r="F54" s="14" t="n"/>
      <c r="G54" s="14" t="n"/>
      <c r="H54" s="14" t="n"/>
      <c r="I54" s="16">
        <f>IF(A54="","",IF(C54&lt;B54,"km Ende &lt; km Beginn",IF(AND(ROW()&gt;5,B54&lt;&gt;"",INDEX($C$5:$C$404,ROW()-5)&lt;&gt;"",B54&lt;&gt;INDEX($C$5:$C$404,ROW()-5)),"LÜCKE im km-Stand",IF(AND(E54="betrieblich",OR(F54="",G54="",H54="")),"Pflichtangabe fehlt","ok"))))</f>
        <v/>
      </c>
    </row>
    <row r="55">
      <c r="A55" s="13" t="n"/>
      <c r="B55" s="14" t="n"/>
      <c r="C55" s="14" t="n"/>
      <c r="D55" s="15">
        <f>IF(OR(B55="",C55=""),"",C55-B55)</f>
        <v/>
      </c>
      <c r="E55" s="14" t="n"/>
      <c r="F55" s="14" t="n"/>
      <c r="G55" s="14" t="n"/>
      <c r="H55" s="14" t="n"/>
      <c r="I55" s="16">
        <f>IF(A55="","",IF(C55&lt;B55,"km Ende &lt; km Beginn",IF(AND(ROW()&gt;5,B55&lt;&gt;"",INDEX($C$5:$C$404,ROW()-5)&lt;&gt;"",B55&lt;&gt;INDEX($C$5:$C$404,ROW()-5)),"LÜCKE im km-Stand",IF(AND(E55="betrieblich",OR(F55="",G55="",H55="")),"Pflichtangabe fehlt","ok"))))</f>
        <v/>
      </c>
    </row>
    <row r="56">
      <c r="A56" s="13" t="n"/>
      <c r="B56" s="14" t="n"/>
      <c r="C56" s="14" t="n"/>
      <c r="D56" s="15">
        <f>IF(OR(B56="",C56=""),"",C56-B56)</f>
        <v/>
      </c>
      <c r="E56" s="14" t="n"/>
      <c r="F56" s="14" t="n"/>
      <c r="G56" s="14" t="n"/>
      <c r="H56" s="14" t="n"/>
      <c r="I56" s="16">
        <f>IF(A56="","",IF(C56&lt;B56,"km Ende &lt; km Beginn",IF(AND(ROW()&gt;5,B56&lt;&gt;"",INDEX($C$5:$C$404,ROW()-5)&lt;&gt;"",B56&lt;&gt;INDEX($C$5:$C$404,ROW()-5)),"LÜCKE im km-Stand",IF(AND(E56="betrieblich",OR(F56="",G56="",H56="")),"Pflichtangabe fehlt","ok"))))</f>
        <v/>
      </c>
    </row>
    <row r="57">
      <c r="A57" s="13" t="n"/>
      <c r="B57" s="14" t="n"/>
      <c r="C57" s="14" t="n"/>
      <c r="D57" s="15">
        <f>IF(OR(B57="",C57=""),"",C57-B57)</f>
        <v/>
      </c>
      <c r="E57" s="14" t="n"/>
      <c r="F57" s="14" t="n"/>
      <c r="G57" s="14" t="n"/>
      <c r="H57" s="14" t="n"/>
      <c r="I57" s="16">
        <f>IF(A57="","",IF(C57&lt;B57,"km Ende &lt; km Beginn",IF(AND(ROW()&gt;5,B57&lt;&gt;"",INDEX($C$5:$C$404,ROW()-5)&lt;&gt;"",B57&lt;&gt;INDEX($C$5:$C$404,ROW()-5)),"LÜCKE im km-Stand",IF(AND(E57="betrieblich",OR(F57="",G57="",H57="")),"Pflichtangabe fehlt","ok"))))</f>
        <v/>
      </c>
    </row>
    <row r="58">
      <c r="A58" s="13" t="n"/>
      <c r="B58" s="14" t="n"/>
      <c r="C58" s="14" t="n"/>
      <c r="D58" s="15">
        <f>IF(OR(B58="",C58=""),"",C58-B58)</f>
        <v/>
      </c>
      <c r="E58" s="14" t="n"/>
      <c r="F58" s="14" t="n"/>
      <c r="G58" s="14" t="n"/>
      <c r="H58" s="14" t="n"/>
      <c r="I58" s="16">
        <f>IF(A58="","",IF(C58&lt;B58,"km Ende &lt; km Beginn",IF(AND(ROW()&gt;5,B58&lt;&gt;"",INDEX($C$5:$C$404,ROW()-5)&lt;&gt;"",B58&lt;&gt;INDEX($C$5:$C$404,ROW()-5)),"LÜCKE im km-Stand",IF(AND(E58="betrieblich",OR(F58="",G58="",H58="")),"Pflichtangabe fehlt","ok"))))</f>
        <v/>
      </c>
    </row>
    <row r="59">
      <c r="A59" s="13" t="n"/>
      <c r="B59" s="14" t="n"/>
      <c r="C59" s="14" t="n"/>
      <c r="D59" s="15">
        <f>IF(OR(B59="",C59=""),"",C59-B59)</f>
        <v/>
      </c>
      <c r="E59" s="14" t="n"/>
      <c r="F59" s="14" t="n"/>
      <c r="G59" s="14" t="n"/>
      <c r="H59" s="14" t="n"/>
      <c r="I59" s="16">
        <f>IF(A59="","",IF(C59&lt;B59,"km Ende &lt; km Beginn",IF(AND(ROW()&gt;5,B59&lt;&gt;"",INDEX($C$5:$C$404,ROW()-5)&lt;&gt;"",B59&lt;&gt;INDEX($C$5:$C$404,ROW()-5)),"LÜCKE im km-Stand",IF(AND(E59="betrieblich",OR(F59="",G59="",H59="")),"Pflichtangabe fehlt","ok"))))</f>
        <v/>
      </c>
    </row>
    <row r="60">
      <c r="A60" s="13" t="n"/>
      <c r="B60" s="14" t="n"/>
      <c r="C60" s="14" t="n"/>
      <c r="D60" s="15">
        <f>IF(OR(B60="",C60=""),"",C60-B60)</f>
        <v/>
      </c>
      <c r="E60" s="14" t="n"/>
      <c r="F60" s="14" t="n"/>
      <c r="G60" s="14" t="n"/>
      <c r="H60" s="14" t="n"/>
      <c r="I60" s="16">
        <f>IF(A60="","",IF(C60&lt;B60,"km Ende &lt; km Beginn",IF(AND(ROW()&gt;5,B60&lt;&gt;"",INDEX($C$5:$C$404,ROW()-5)&lt;&gt;"",B60&lt;&gt;INDEX($C$5:$C$404,ROW()-5)),"LÜCKE im km-Stand",IF(AND(E60="betrieblich",OR(F60="",G60="",H60="")),"Pflichtangabe fehlt","ok"))))</f>
        <v/>
      </c>
    </row>
    <row r="61">
      <c r="A61" s="13" t="n"/>
      <c r="B61" s="14" t="n"/>
      <c r="C61" s="14" t="n"/>
      <c r="D61" s="15">
        <f>IF(OR(B61="",C61=""),"",C61-B61)</f>
        <v/>
      </c>
      <c r="E61" s="14" t="n"/>
      <c r="F61" s="14" t="n"/>
      <c r="G61" s="14" t="n"/>
      <c r="H61" s="14" t="n"/>
      <c r="I61" s="16">
        <f>IF(A61="","",IF(C61&lt;B61,"km Ende &lt; km Beginn",IF(AND(ROW()&gt;5,B61&lt;&gt;"",INDEX($C$5:$C$404,ROW()-5)&lt;&gt;"",B61&lt;&gt;INDEX($C$5:$C$404,ROW()-5)),"LÜCKE im km-Stand",IF(AND(E61="betrieblich",OR(F61="",G61="",H61="")),"Pflichtangabe fehlt","ok"))))</f>
        <v/>
      </c>
    </row>
    <row r="62">
      <c r="A62" s="13" t="n"/>
      <c r="B62" s="14" t="n"/>
      <c r="C62" s="14" t="n"/>
      <c r="D62" s="15">
        <f>IF(OR(B62="",C62=""),"",C62-B62)</f>
        <v/>
      </c>
      <c r="E62" s="14" t="n"/>
      <c r="F62" s="14" t="n"/>
      <c r="G62" s="14" t="n"/>
      <c r="H62" s="14" t="n"/>
      <c r="I62" s="16">
        <f>IF(A62="","",IF(C62&lt;B62,"km Ende &lt; km Beginn",IF(AND(ROW()&gt;5,B62&lt;&gt;"",INDEX($C$5:$C$404,ROW()-5)&lt;&gt;"",B62&lt;&gt;INDEX($C$5:$C$404,ROW()-5)),"LÜCKE im km-Stand",IF(AND(E62="betrieblich",OR(F62="",G62="",H62="")),"Pflichtangabe fehlt","ok"))))</f>
        <v/>
      </c>
    </row>
    <row r="63">
      <c r="A63" s="13" t="n"/>
      <c r="B63" s="14" t="n"/>
      <c r="C63" s="14" t="n"/>
      <c r="D63" s="15">
        <f>IF(OR(B63="",C63=""),"",C63-B63)</f>
        <v/>
      </c>
      <c r="E63" s="14" t="n"/>
      <c r="F63" s="14" t="n"/>
      <c r="G63" s="14" t="n"/>
      <c r="H63" s="14" t="n"/>
      <c r="I63" s="16">
        <f>IF(A63="","",IF(C63&lt;B63,"km Ende &lt; km Beginn",IF(AND(ROW()&gt;5,B63&lt;&gt;"",INDEX($C$5:$C$404,ROW()-5)&lt;&gt;"",B63&lt;&gt;INDEX($C$5:$C$404,ROW()-5)),"LÜCKE im km-Stand",IF(AND(E63="betrieblich",OR(F63="",G63="",H63="")),"Pflichtangabe fehlt","ok"))))</f>
        <v/>
      </c>
    </row>
    <row r="64">
      <c r="A64" s="13" t="n"/>
      <c r="B64" s="14" t="n"/>
      <c r="C64" s="14" t="n"/>
      <c r="D64" s="15">
        <f>IF(OR(B64="",C64=""),"",C64-B64)</f>
        <v/>
      </c>
      <c r="E64" s="14" t="n"/>
      <c r="F64" s="14" t="n"/>
      <c r="G64" s="14" t="n"/>
      <c r="H64" s="14" t="n"/>
      <c r="I64" s="16">
        <f>IF(A64="","",IF(C64&lt;B64,"km Ende &lt; km Beginn",IF(AND(ROW()&gt;5,B64&lt;&gt;"",INDEX($C$5:$C$404,ROW()-5)&lt;&gt;"",B64&lt;&gt;INDEX($C$5:$C$404,ROW()-5)),"LÜCKE im km-Stand",IF(AND(E64="betrieblich",OR(F64="",G64="",H64="")),"Pflichtangabe fehlt","ok"))))</f>
        <v/>
      </c>
    </row>
    <row r="65">
      <c r="A65" s="13" t="n"/>
      <c r="B65" s="14" t="n"/>
      <c r="C65" s="14" t="n"/>
      <c r="D65" s="15">
        <f>IF(OR(B65="",C65=""),"",C65-B65)</f>
        <v/>
      </c>
      <c r="E65" s="14" t="n"/>
      <c r="F65" s="14" t="n"/>
      <c r="G65" s="14" t="n"/>
      <c r="H65" s="14" t="n"/>
      <c r="I65" s="16">
        <f>IF(A65="","",IF(C65&lt;B65,"km Ende &lt; km Beginn",IF(AND(ROW()&gt;5,B65&lt;&gt;"",INDEX($C$5:$C$404,ROW()-5)&lt;&gt;"",B65&lt;&gt;INDEX($C$5:$C$404,ROW()-5)),"LÜCKE im km-Stand",IF(AND(E65="betrieblich",OR(F65="",G65="",H65="")),"Pflichtangabe fehlt","ok"))))</f>
        <v/>
      </c>
    </row>
    <row r="66">
      <c r="A66" s="13" t="n"/>
      <c r="B66" s="14" t="n"/>
      <c r="C66" s="14" t="n"/>
      <c r="D66" s="15">
        <f>IF(OR(B66="",C66=""),"",C66-B66)</f>
        <v/>
      </c>
      <c r="E66" s="14" t="n"/>
      <c r="F66" s="14" t="n"/>
      <c r="G66" s="14" t="n"/>
      <c r="H66" s="14" t="n"/>
      <c r="I66" s="16">
        <f>IF(A66="","",IF(C66&lt;B66,"km Ende &lt; km Beginn",IF(AND(ROW()&gt;5,B66&lt;&gt;"",INDEX($C$5:$C$404,ROW()-5)&lt;&gt;"",B66&lt;&gt;INDEX($C$5:$C$404,ROW()-5)),"LÜCKE im km-Stand",IF(AND(E66="betrieblich",OR(F66="",G66="",H66="")),"Pflichtangabe fehlt","ok"))))</f>
        <v/>
      </c>
    </row>
    <row r="67">
      <c r="A67" s="13" t="n"/>
      <c r="B67" s="14" t="n"/>
      <c r="C67" s="14" t="n"/>
      <c r="D67" s="15">
        <f>IF(OR(B67="",C67=""),"",C67-B67)</f>
        <v/>
      </c>
      <c r="E67" s="14" t="n"/>
      <c r="F67" s="14" t="n"/>
      <c r="G67" s="14" t="n"/>
      <c r="H67" s="14" t="n"/>
      <c r="I67" s="16">
        <f>IF(A67="","",IF(C67&lt;B67,"km Ende &lt; km Beginn",IF(AND(ROW()&gt;5,B67&lt;&gt;"",INDEX($C$5:$C$404,ROW()-5)&lt;&gt;"",B67&lt;&gt;INDEX($C$5:$C$404,ROW()-5)),"LÜCKE im km-Stand",IF(AND(E67="betrieblich",OR(F67="",G67="",H67="")),"Pflichtangabe fehlt","ok"))))</f>
        <v/>
      </c>
    </row>
    <row r="68">
      <c r="A68" s="13" t="n"/>
      <c r="B68" s="14" t="n"/>
      <c r="C68" s="14" t="n"/>
      <c r="D68" s="15">
        <f>IF(OR(B68="",C68=""),"",C68-B68)</f>
        <v/>
      </c>
      <c r="E68" s="14" t="n"/>
      <c r="F68" s="14" t="n"/>
      <c r="G68" s="14" t="n"/>
      <c r="H68" s="14" t="n"/>
      <c r="I68" s="16">
        <f>IF(A68="","",IF(C68&lt;B68,"km Ende &lt; km Beginn",IF(AND(ROW()&gt;5,B68&lt;&gt;"",INDEX($C$5:$C$404,ROW()-5)&lt;&gt;"",B68&lt;&gt;INDEX($C$5:$C$404,ROW()-5)),"LÜCKE im km-Stand",IF(AND(E68="betrieblich",OR(F68="",G68="",H68="")),"Pflichtangabe fehlt","ok"))))</f>
        <v/>
      </c>
    </row>
    <row r="69">
      <c r="A69" s="13" t="n"/>
      <c r="B69" s="14" t="n"/>
      <c r="C69" s="14" t="n"/>
      <c r="D69" s="15">
        <f>IF(OR(B69="",C69=""),"",C69-B69)</f>
        <v/>
      </c>
      <c r="E69" s="14" t="n"/>
      <c r="F69" s="14" t="n"/>
      <c r="G69" s="14" t="n"/>
      <c r="H69" s="14" t="n"/>
      <c r="I69" s="16">
        <f>IF(A69="","",IF(C69&lt;B69,"km Ende &lt; km Beginn",IF(AND(ROW()&gt;5,B69&lt;&gt;"",INDEX($C$5:$C$404,ROW()-5)&lt;&gt;"",B69&lt;&gt;INDEX($C$5:$C$404,ROW()-5)),"LÜCKE im km-Stand",IF(AND(E69="betrieblich",OR(F69="",G69="",H69="")),"Pflichtangabe fehlt","ok"))))</f>
        <v/>
      </c>
    </row>
    <row r="70">
      <c r="A70" s="13" t="n"/>
      <c r="B70" s="14" t="n"/>
      <c r="C70" s="14" t="n"/>
      <c r="D70" s="15">
        <f>IF(OR(B70="",C70=""),"",C70-B70)</f>
        <v/>
      </c>
      <c r="E70" s="14" t="n"/>
      <c r="F70" s="14" t="n"/>
      <c r="G70" s="14" t="n"/>
      <c r="H70" s="14" t="n"/>
      <c r="I70" s="16">
        <f>IF(A70="","",IF(C70&lt;B70,"km Ende &lt; km Beginn",IF(AND(ROW()&gt;5,B70&lt;&gt;"",INDEX($C$5:$C$404,ROW()-5)&lt;&gt;"",B70&lt;&gt;INDEX($C$5:$C$404,ROW()-5)),"LÜCKE im km-Stand",IF(AND(E70="betrieblich",OR(F70="",G70="",H70="")),"Pflichtangabe fehlt","ok"))))</f>
        <v/>
      </c>
    </row>
    <row r="71">
      <c r="A71" s="13" t="n"/>
      <c r="B71" s="14" t="n"/>
      <c r="C71" s="14" t="n"/>
      <c r="D71" s="15">
        <f>IF(OR(B71="",C71=""),"",C71-B71)</f>
        <v/>
      </c>
      <c r="E71" s="14" t="n"/>
      <c r="F71" s="14" t="n"/>
      <c r="G71" s="14" t="n"/>
      <c r="H71" s="14" t="n"/>
      <c r="I71" s="16">
        <f>IF(A71="","",IF(C71&lt;B71,"km Ende &lt; km Beginn",IF(AND(ROW()&gt;5,B71&lt;&gt;"",INDEX($C$5:$C$404,ROW()-5)&lt;&gt;"",B71&lt;&gt;INDEX($C$5:$C$404,ROW()-5)),"LÜCKE im km-Stand",IF(AND(E71="betrieblich",OR(F71="",G71="",H71="")),"Pflichtangabe fehlt","ok"))))</f>
        <v/>
      </c>
    </row>
    <row r="72">
      <c r="A72" s="13" t="n"/>
      <c r="B72" s="14" t="n"/>
      <c r="C72" s="14" t="n"/>
      <c r="D72" s="15">
        <f>IF(OR(B72="",C72=""),"",C72-B72)</f>
        <v/>
      </c>
      <c r="E72" s="14" t="n"/>
      <c r="F72" s="14" t="n"/>
      <c r="G72" s="14" t="n"/>
      <c r="H72" s="14" t="n"/>
      <c r="I72" s="16">
        <f>IF(A72="","",IF(C72&lt;B72,"km Ende &lt; km Beginn",IF(AND(ROW()&gt;5,B72&lt;&gt;"",INDEX($C$5:$C$404,ROW()-5)&lt;&gt;"",B72&lt;&gt;INDEX($C$5:$C$404,ROW()-5)),"LÜCKE im km-Stand",IF(AND(E72="betrieblich",OR(F72="",G72="",H72="")),"Pflichtangabe fehlt","ok"))))</f>
        <v/>
      </c>
    </row>
    <row r="73">
      <c r="A73" s="13" t="n"/>
      <c r="B73" s="14" t="n"/>
      <c r="C73" s="14" t="n"/>
      <c r="D73" s="15">
        <f>IF(OR(B73="",C73=""),"",C73-B73)</f>
        <v/>
      </c>
      <c r="E73" s="14" t="n"/>
      <c r="F73" s="14" t="n"/>
      <c r="G73" s="14" t="n"/>
      <c r="H73" s="14" t="n"/>
      <c r="I73" s="16">
        <f>IF(A73="","",IF(C73&lt;B73,"km Ende &lt; km Beginn",IF(AND(ROW()&gt;5,B73&lt;&gt;"",INDEX($C$5:$C$404,ROW()-5)&lt;&gt;"",B73&lt;&gt;INDEX($C$5:$C$404,ROW()-5)),"LÜCKE im km-Stand",IF(AND(E73="betrieblich",OR(F73="",G73="",H73="")),"Pflichtangabe fehlt","ok"))))</f>
        <v/>
      </c>
    </row>
    <row r="74">
      <c r="A74" s="13" t="n"/>
      <c r="B74" s="14" t="n"/>
      <c r="C74" s="14" t="n"/>
      <c r="D74" s="15">
        <f>IF(OR(B74="",C74=""),"",C74-B74)</f>
        <v/>
      </c>
      <c r="E74" s="14" t="n"/>
      <c r="F74" s="14" t="n"/>
      <c r="G74" s="14" t="n"/>
      <c r="H74" s="14" t="n"/>
      <c r="I74" s="16">
        <f>IF(A74="","",IF(C74&lt;B74,"km Ende &lt; km Beginn",IF(AND(ROW()&gt;5,B74&lt;&gt;"",INDEX($C$5:$C$404,ROW()-5)&lt;&gt;"",B74&lt;&gt;INDEX($C$5:$C$404,ROW()-5)),"LÜCKE im km-Stand",IF(AND(E74="betrieblich",OR(F74="",G74="",H74="")),"Pflichtangabe fehlt","ok"))))</f>
        <v/>
      </c>
    </row>
    <row r="75">
      <c r="A75" s="13" t="n"/>
      <c r="B75" s="14" t="n"/>
      <c r="C75" s="14" t="n"/>
      <c r="D75" s="15">
        <f>IF(OR(B75="",C75=""),"",C75-B75)</f>
        <v/>
      </c>
      <c r="E75" s="14" t="n"/>
      <c r="F75" s="14" t="n"/>
      <c r="G75" s="14" t="n"/>
      <c r="H75" s="14" t="n"/>
      <c r="I75" s="16">
        <f>IF(A75="","",IF(C75&lt;B75,"km Ende &lt; km Beginn",IF(AND(ROW()&gt;5,B75&lt;&gt;"",INDEX($C$5:$C$404,ROW()-5)&lt;&gt;"",B75&lt;&gt;INDEX($C$5:$C$404,ROW()-5)),"LÜCKE im km-Stand",IF(AND(E75="betrieblich",OR(F75="",G75="",H75="")),"Pflichtangabe fehlt","ok"))))</f>
        <v/>
      </c>
    </row>
    <row r="76">
      <c r="A76" s="13" t="n"/>
      <c r="B76" s="14" t="n"/>
      <c r="C76" s="14" t="n"/>
      <c r="D76" s="15">
        <f>IF(OR(B76="",C76=""),"",C76-B76)</f>
        <v/>
      </c>
      <c r="E76" s="14" t="n"/>
      <c r="F76" s="14" t="n"/>
      <c r="G76" s="14" t="n"/>
      <c r="H76" s="14" t="n"/>
      <c r="I76" s="16">
        <f>IF(A76="","",IF(C76&lt;B76,"km Ende &lt; km Beginn",IF(AND(ROW()&gt;5,B76&lt;&gt;"",INDEX($C$5:$C$404,ROW()-5)&lt;&gt;"",B76&lt;&gt;INDEX($C$5:$C$404,ROW()-5)),"LÜCKE im km-Stand",IF(AND(E76="betrieblich",OR(F76="",G76="",H76="")),"Pflichtangabe fehlt","ok"))))</f>
        <v/>
      </c>
    </row>
    <row r="77">
      <c r="A77" s="13" t="n"/>
      <c r="B77" s="14" t="n"/>
      <c r="C77" s="14" t="n"/>
      <c r="D77" s="15">
        <f>IF(OR(B77="",C77=""),"",C77-B77)</f>
        <v/>
      </c>
      <c r="E77" s="14" t="n"/>
      <c r="F77" s="14" t="n"/>
      <c r="G77" s="14" t="n"/>
      <c r="H77" s="14" t="n"/>
      <c r="I77" s="16">
        <f>IF(A77="","",IF(C77&lt;B77,"km Ende &lt; km Beginn",IF(AND(ROW()&gt;5,B77&lt;&gt;"",INDEX($C$5:$C$404,ROW()-5)&lt;&gt;"",B77&lt;&gt;INDEX($C$5:$C$404,ROW()-5)),"LÜCKE im km-Stand",IF(AND(E77="betrieblich",OR(F77="",G77="",H77="")),"Pflichtangabe fehlt","ok"))))</f>
        <v/>
      </c>
    </row>
    <row r="78">
      <c r="A78" s="13" t="n"/>
      <c r="B78" s="14" t="n"/>
      <c r="C78" s="14" t="n"/>
      <c r="D78" s="15">
        <f>IF(OR(B78="",C78=""),"",C78-B78)</f>
        <v/>
      </c>
      <c r="E78" s="14" t="n"/>
      <c r="F78" s="14" t="n"/>
      <c r="G78" s="14" t="n"/>
      <c r="H78" s="14" t="n"/>
      <c r="I78" s="16">
        <f>IF(A78="","",IF(C78&lt;B78,"km Ende &lt; km Beginn",IF(AND(ROW()&gt;5,B78&lt;&gt;"",INDEX($C$5:$C$404,ROW()-5)&lt;&gt;"",B78&lt;&gt;INDEX($C$5:$C$404,ROW()-5)),"LÜCKE im km-Stand",IF(AND(E78="betrieblich",OR(F78="",G78="",H78="")),"Pflichtangabe fehlt","ok"))))</f>
        <v/>
      </c>
    </row>
    <row r="79">
      <c r="A79" s="13" t="n"/>
      <c r="B79" s="14" t="n"/>
      <c r="C79" s="14" t="n"/>
      <c r="D79" s="15">
        <f>IF(OR(B79="",C79=""),"",C79-B79)</f>
        <v/>
      </c>
      <c r="E79" s="14" t="n"/>
      <c r="F79" s="14" t="n"/>
      <c r="G79" s="14" t="n"/>
      <c r="H79" s="14" t="n"/>
      <c r="I79" s="16">
        <f>IF(A79="","",IF(C79&lt;B79,"km Ende &lt; km Beginn",IF(AND(ROW()&gt;5,B79&lt;&gt;"",INDEX($C$5:$C$404,ROW()-5)&lt;&gt;"",B79&lt;&gt;INDEX($C$5:$C$404,ROW()-5)),"LÜCKE im km-Stand",IF(AND(E79="betrieblich",OR(F79="",G79="",H79="")),"Pflichtangabe fehlt","ok"))))</f>
        <v/>
      </c>
    </row>
    <row r="80">
      <c r="A80" s="13" t="n"/>
      <c r="B80" s="14" t="n"/>
      <c r="C80" s="14" t="n"/>
      <c r="D80" s="15">
        <f>IF(OR(B80="",C80=""),"",C80-B80)</f>
        <v/>
      </c>
      <c r="E80" s="14" t="n"/>
      <c r="F80" s="14" t="n"/>
      <c r="G80" s="14" t="n"/>
      <c r="H80" s="14" t="n"/>
      <c r="I80" s="16">
        <f>IF(A80="","",IF(C80&lt;B80,"km Ende &lt; km Beginn",IF(AND(ROW()&gt;5,B80&lt;&gt;"",INDEX($C$5:$C$404,ROW()-5)&lt;&gt;"",B80&lt;&gt;INDEX($C$5:$C$404,ROW()-5)),"LÜCKE im km-Stand",IF(AND(E80="betrieblich",OR(F80="",G80="",H80="")),"Pflichtangabe fehlt","ok"))))</f>
        <v/>
      </c>
    </row>
    <row r="81">
      <c r="A81" s="13" t="n"/>
      <c r="B81" s="14" t="n"/>
      <c r="C81" s="14" t="n"/>
      <c r="D81" s="15">
        <f>IF(OR(B81="",C81=""),"",C81-B81)</f>
        <v/>
      </c>
      <c r="E81" s="14" t="n"/>
      <c r="F81" s="14" t="n"/>
      <c r="G81" s="14" t="n"/>
      <c r="H81" s="14" t="n"/>
      <c r="I81" s="16">
        <f>IF(A81="","",IF(C81&lt;B81,"km Ende &lt; km Beginn",IF(AND(ROW()&gt;5,B81&lt;&gt;"",INDEX($C$5:$C$404,ROW()-5)&lt;&gt;"",B81&lt;&gt;INDEX($C$5:$C$404,ROW()-5)),"LÜCKE im km-Stand",IF(AND(E81="betrieblich",OR(F81="",G81="",H81="")),"Pflichtangabe fehlt","ok"))))</f>
        <v/>
      </c>
    </row>
    <row r="82">
      <c r="A82" s="13" t="n"/>
      <c r="B82" s="14" t="n"/>
      <c r="C82" s="14" t="n"/>
      <c r="D82" s="15">
        <f>IF(OR(B82="",C82=""),"",C82-B82)</f>
        <v/>
      </c>
      <c r="E82" s="14" t="n"/>
      <c r="F82" s="14" t="n"/>
      <c r="G82" s="14" t="n"/>
      <c r="H82" s="14" t="n"/>
      <c r="I82" s="16">
        <f>IF(A82="","",IF(C82&lt;B82,"km Ende &lt; km Beginn",IF(AND(ROW()&gt;5,B82&lt;&gt;"",INDEX($C$5:$C$404,ROW()-5)&lt;&gt;"",B82&lt;&gt;INDEX($C$5:$C$404,ROW()-5)),"LÜCKE im km-Stand",IF(AND(E82="betrieblich",OR(F82="",G82="",H82="")),"Pflichtangabe fehlt","ok"))))</f>
        <v/>
      </c>
    </row>
    <row r="83">
      <c r="A83" s="13" t="n"/>
      <c r="B83" s="14" t="n"/>
      <c r="C83" s="14" t="n"/>
      <c r="D83" s="15">
        <f>IF(OR(B83="",C83=""),"",C83-B83)</f>
        <v/>
      </c>
      <c r="E83" s="14" t="n"/>
      <c r="F83" s="14" t="n"/>
      <c r="G83" s="14" t="n"/>
      <c r="H83" s="14" t="n"/>
      <c r="I83" s="16">
        <f>IF(A83="","",IF(C83&lt;B83,"km Ende &lt; km Beginn",IF(AND(ROW()&gt;5,B83&lt;&gt;"",INDEX($C$5:$C$404,ROW()-5)&lt;&gt;"",B83&lt;&gt;INDEX($C$5:$C$404,ROW()-5)),"LÜCKE im km-Stand",IF(AND(E83="betrieblich",OR(F83="",G83="",H83="")),"Pflichtangabe fehlt","ok"))))</f>
        <v/>
      </c>
    </row>
    <row r="84">
      <c r="A84" s="13" t="n"/>
      <c r="B84" s="14" t="n"/>
      <c r="C84" s="14" t="n"/>
      <c r="D84" s="15">
        <f>IF(OR(B84="",C84=""),"",C84-B84)</f>
        <v/>
      </c>
      <c r="E84" s="14" t="n"/>
      <c r="F84" s="14" t="n"/>
      <c r="G84" s="14" t="n"/>
      <c r="H84" s="14" t="n"/>
      <c r="I84" s="16">
        <f>IF(A84="","",IF(C84&lt;B84,"km Ende &lt; km Beginn",IF(AND(ROW()&gt;5,B84&lt;&gt;"",INDEX($C$5:$C$404,ROW()-5)&lt;&gt;"",B84&lt;&gt;INDEX($C$5:$C$404,ROW()-5)),"LÜCKE im km-Stand",IF(AND(E84="betrieblich",OR(F84="",G84="",H84="")),"Pflichtangabe fehlt","ok"))))</f>
        <v/>
      </c>
    </row>
    <row r="85">
      <c r="A85" s="13" t="n"/>
      <c r="B85" s="14" t="n"/>
      <c r="C85" s="14" t="n"/>
      <c r="D85" s="15">
        <f>IF(OR(B85="",C85=""),"",C85-B85)</f>
        <v/>
      </c>
      <c r="E85" s="14" t="n"/>
      <c r="F85" s="14" t="n"/>
      <c r="G85" s="14" t="n"/>
      <c r="H85" s="14" t="n"/>
      <c r="I85" s="16">
        <f>IF(A85="","",IF(C85&lt;B85,"km Ende &lt; km Beginn",IF(AND(ROW()&gt;5,B85&lt;&gt;"",INDEX($C$5:$C$404,ROW()-5)&lt;&gt;"",B85&lt;&gt;INDEX($C$5:$C$404,ROW()-5)),"LÜCKE im km-Stand",IF(AND(E85="betrieblich",OR(F85="",G85="",H85="")),"Pflichtangabe fehlt","ok"))))</f>
        <v/>
      </c>
    </row>
    <row r="86">
      <c r="A86" s="13" t="n"/>
      <c r="B86" s="14" t="n"/>
      <c r="C86" s="14" t="n"/>
      <c r="D86" s="15">
        <f>IF(OR(B86="",C86=""),"",C86-B86)</f>
        <v/>
      </c>
      <c r="E86" s="14" t="n"/>
      <c r="F86" s="14" t="n"/>
      <c r="G86" s="14" t="n"/>
      <c r="H86" s="14" t="n"/>
      <c r="I86" s="16">
        <f>IF(A86="","",IF(C86&lt;B86,"km Ende &lt; km Beginn",IF(AND(ROW()&gt;5,B86&lt;&gt;"",INDEX($C$5:$C$404,ROW()-5)&lt;&gt;"",B86&lt;&gt;INDEX($C$5:$C$404,ROW()-5)),"LÜCKE im km-Stand",IF(AND(E86="betrieblich",OR(F86="",G86="",H86="")),"Pflichtangabe fehlt","ok"))))</f>
        <v/>
      </c>
    </row>
    <row r="87">
      <c r="A87" s="13" t="n"/>
      <c r="B87" s="14" t="n"/>
      <c r="C87" s="14" t="n"/>
      <c r="D87" s="15">
        <f>IF(OR(B87="",C87=""),"",C87-B87)</f>
        <v/>
      </c>
      <c r="E87" s="14" t="n"/>
      <c r="F87" s="14" t="n"/>
      <c r="G87" s="14" t="n"/>
      <c r="H87" s="14" t="n"/>
      <c r="I87" s="16">
        <f>IF(A87="","",IF(C87&lt;B87,"km Ende &lt; km Beginn",IF(AND(ROW()&gt;5,B87&lt;&gt;"",INDEX($C$5:$C$404,ROW()-5)&lt;&gt;"",B87&lt;&gt;INDEX($C$5:$C$404,ROW()-5)),"LÜCKE im km-Stand",IF(AND(E87="betrieblich",OR(F87="",G87="",H87="")),"Pflichtangabe fehlt","ok"))))</f>
        <v/>
      </c>
    </row>
    <row r="88">
      <c r="A88" s="13" t="n"/>
      <c r="B88" s="14" t="n"/>
      <c r="C88" s="14" t="n"/>
      <c r="D88" s="15">
        <f>IF(OR(B88="",C88=""),"",C88-B88)</f>
        <v/>
      </c>
      <c r="E88" s="14" t="n"/>
      <c r="F88" s="14" t="n"/>
      <c r="G88" s="14" t="n"/>
      <c r="H88" s="14" t="n"/>
      <c r="I88" s="16">
        <f>IF(A88="","",IF(C88&lt;B88,"km Ende &lt; km Beginn",IF(AND(ROW()&gt;5,B88&lt;&gt;"",INDEX($C$5:$C$404,ROW()-5)&lt;&gt;"",B88&lt;&gt;INDEX($C$5:$C$404,ROW()-5)),"LÜCKE im km-Stand",IF(AND(E88="betrieblich",OR(F88="",G88="",H88="")),"Pflichtangabe fehlt","ok"))))</f>
        <v/>
      </c>
    </row>
    <row r="89">
      <c r="A89" s="13" t="n"/>
      <c r="B89" s="14" t="n"/>
      <c r="C89" s="14" t="n"/>
      <c r="D89" s="15">
        <f>IF(OR(B89="",C89=""),"",C89-B89)</f>
        <v/>
      </c>
      <c r="E89" s="14" t="n"/>
      <c r="F89" s="14" t="n"/>
      <c r="G89" s="14" t="n"/>
      <c r="H89" s="14" t="n"/>
      <c r="I89" s="16">
        <f>IF(A89="","",IF(C89&lt;B89,"km Ende &lt; km Beginn",IF(AND(ROW()&gt;5,B89&lt;&gt;"",INDEX($C$5:$C$404,ROW()-5)&lt;&gt;"",B89&lt;&gt;INDEX($C$5:$C$404,ROW()-5)),"LÜCKE im km-Stand",IF(AND(E89="betrieblich",OR(F89="",G89="",H89="")),"Pflichtangabe fehlt","ok"))))</f>
        <v/>
      </c>
    </row>
    <row r="90">
      <c r="A90" s="13" t="n"/>
      <c r="B90" s="14" t="n"/>
      <c r="C90" s="14" t="n"/>
      <c r="D90" s="15">
        <f>IF(OR(B90="",C90=""),"",C90-B90)</f>
        <v/>
      </c>
      <c r="E90" s="14" t="n"/>
      <c r="F90" s="14" t="n"/>
      <c r="G90" s="14" t="n"/>
      <c r="H90" s="14" t="n"/>
      <c r="I90" s="16">
        <f>IF(A90="","",IF(C90&lt;B90,"km Ende &lt; km Beginn",IF(AND(ROW()&gt;5,B90&lt;&gt;"",INDEX($C$5:$C$404,ROW()-5)&lt;&gt;"",B90&lt;&gt;INDEX($C$5:$C$404,ROW()-5)),"LÜCKE im km-Stand",IF(AND(E90="betrieblich",OR(F90="",G90="",H90="")),"Pflichtangabe fehlt","ok"))))</f>
        <v/>
      </c>
    </row>
    <row r="91">
      <c r="A91" s="13" t="n"/>
      <c r="B91" s="14" t="n"/>
      <c r="C91" s="14" t="n"/>
      <c r="D91" s="15">
        <f>IF(OR(B91="",C91=""),"",C91-B91)</f>
        <v/>
      </c>
      <c r="E91" s="14" t="n"/>
      <c r="F91" s="14" t="n"/>
      <c r="G91" s="14" t="n"/>
      <c r="H91" s="14" t="n"/>
      <c r="I91" s="16">
        <f>IF(A91="","",IF(C91&lt;B91,"km Ende &lt; km Beginn",IF(AND(ROW()&gt;5,B91&lt;&gt;"",INDEX($C$5:$C$404,ROW()-5)&lt;&gt;"",B91&lt;&gt;INDEX($C$5:$C$404,ROW()-5)),"LÜCKE im km-Stand",IF(AND(E91="betrieblich",OR(F91="",G91="",H91="")),"Pflichtangabe fehlt","ok"))))</f>
        <v/>
      </c>
    </row>
    <row r="92">
      <c r="A92" s="13" t="n"/>
      <c r="B92" s="14" t="n"/>
      <c r="C92" s="14" t="n"/>
      <c r="D92" s="15">
        <f>IF(OR(B92="",C92=""),"",C92-B92)</f>
        <v/>
      </c>
      <c r="E92" s="14" t="n"/>
      <c r="F92" s="14" t="n"/>
      <c r="G92" s="14" t="n"/>
      <c r="H92" s="14" t="n"/>
      <c r="I92" s="16">
        <f>IF(A92="","",IF(C92&lt;B92,"km Ende &lt; km Beginn",IF(AND(ROW()&gt;5,B92&lt;&gt;"",INDEX($C$5:$C$404,ROW()-5)&lt;&gt;"",B92&lt;&gt;INDEX($C$5:$C$404,ROW()-5)),"LÜCKE im km-Stand",IF(AND(E92="betrieblich",OR(F92="",G92="",H92="")),"Pflichtangabe fehlt","ok"))))</f>
        <v/>
      </c>
    </row>
    <row r="93">
      <c r="A93" s="13" t="n"/>
      <c r="B93" s="14" t="n"/>
      <c r="C93" s="14" t="n"/>
      <c r="D93" s="15">
        <f>IF(OR(B93="",C93=""),"",C93-B93)</f>
        <v/>
      </c>
      <c r="E93" s="14" t="n"/>
      <c r="F93" s="14" t="n"/>
      <c r="G93" s="14" t="n"/>
      <c r="H93" s="14" t="n"/>
      <c r="I93" s="16">
        <f>IF(A93="","",IF(C93&lt;B93,"km Ende &lt; km Beginn",IF(AND(ROW()&gt;5,B93&lt;&gt;"",INDEX($C$5:$C$404,ROW()-5)&lt;&gt;"",B93&lt;&gt;INDEX($C$5:$C$404,ROW()-5)),"LÜCKE im km-Stand",IF(AND(E93="betrieblich",OR(F93="",G93="",H93="")),"Pflichtangabe fehlt","ok"))))</f>
        <v/>
      </c>
    </row>
    <row r="94">
      <c r="A94" s="13" t="n"/>
      <c r="B94" s="14" t="n"/>
      <c r="C94" s="14" t="n"/>
      <c r="D94" s="15">
        <f>IF(OR(B94="",C94=""),"",C94-B94)</f>
        <v/>
      </c>
      <c r="E94" s="14" t="n"/>
      <c r="F94" s="14" t="n"/>
      <c r="G94" s="14" t="n"/>
      <c r="H94" s="14" t="n"/>
      <c r="I94" s="16">
        <f>IF(A94="","",IF(C94&lt;B94,"km Ende &lt; km Beginn",IF(AND(ROW()&gt;5,B94&lt;&gt;"",INDEX($C$5:$C$404,ROW()-5)&lt;&gt;"",B94&lt;&gt;INDEX($C$5:$C$404,ROW()-5)),"LÜCKE im km-Stand",IF(AND(E94="betrieblich",OR(F94="",G94="",H94="")),"Pflichtangabe fehlt","ok"))))</f>
        <v/>
      </c>
    </row>
    <row r="95">
      <c r="A95" s="13" t="n"/>
      <c r="B95" s="14" t="n"/>
      <c r="C95" s="14" t="n"/>
      <c r="D95" s="15">
        <f>IF(OR(B95="",C95=""),"",C95-B95)</f>
        <v/>
      </c>
      <c r="E95" s="14" t="n"/>
      <c r="F95" s="14" t="n"/>
      <c r="G95" s="14" t="n"/>
      <c r="H95" s="14" t="n"/>
      <c r="I95" s="16">
        <f>IF(A95="","",IF(C95&lt;B95,"km Ende &lt; km Beginn",IF(AND(ROW()&gt;5,B95&lt;&gt;"",INDEX($C$5:$C$404,ROW()-5)&lt;&gt;"",B95&lt;&gt;INDEX($C$5:$C$404,ROW()-5)),"LÜCKE im km-Stand",IF(AND(E95="betrieblich",OR(F95="",G95="",H95="")),"Pflichtangabe fehlt","ok"))))</f>
        <v/>
      </c>
    </row>
    <row r="96">
      <c r="A96" s="13" t="n"/>
      <c r="B96" s="14" t="n"/>
      <c r="C96" s="14" t="n"/>
      <c r="D96" s="15">
        <f>IF(OR(B96="",C96=""),"",C96-B96)</f>
        <v/>
      </c>
      <c r="E96" s="14" t="n"/>
      <c r="F96" s="14" t="n"/>
      <c r="G96" s="14" t="n"/>
      <c r="H96" s="14" t="n"/>
      <c r="I96" s="16">
        <f>IF(A96="","",IF(C96&lt;B96,"km Ende &lt; km Beginn",IF(AND(ROW()&gt;5,B96&lt;&gt;"",INDEX($C$5:$C$404,ROW()-5)&lt;&gt;"",B96&lt;&gt;INDEX($C$5:$C$404,ROW()-5)),"LÜCKE im km-Stand",IF(AND(E96="betrieblich",OR(F96="",G96="",H96="")),"Pflichtangabe fehlt","ok"))))</f>
        <v/>
      </c>
    </row>
    <row r="97">
      <c r="A97" s="13" t="n"/>
      <c r="B97" s="14" t="n"/>
      <c r="C97" s="14" t="n"/>
      <c r="D97" s="15">
        <f>IF(OR(B97="",C97=""),"",C97-B97)</f>
        <v/>
      </c>
      <c r="E97" s="14" t="n"/>
      <c r="F97" s="14" t="n"/>
      <c r="G97" s="14" t="n"/>
      <c r="H97" s="14" t="n"/>
      <c r="I97" s="16">
        <f>IF(A97="","",IF(C97&lt;B97,"km Ende &lt; km Beginn",IF(AND(ROW()&gt;5,B97&lt;&gt;"",INDEX($C$5:$C$404,ROW()-5)&lt;&gt;"",B97&lt;&gt;INDEX($C$5:$C$404,ROW()-5)),"LÜCKE im km-Stand",IF(AND(E97="betrieblich",OR(F97="",G97="",H97="")),"Pflichtangabe fehlt","ok"))))</f>
        <v/>
      </c>
    </row>
    <row r="98">
      <c r="A98" s="13" t="n"/>
      <c r="B98" s="14" t="n"/>
      <c r="C98" s="14" t="n"/>
      <c r="D98" s="15">
        <f>IF(OR(B98="",C98=""),"",C98-B98)</f>
        <v/>
      </c>
      <c r="E98" s="14" t="n"/>
      <c r="F98" s="14" t="n"/>
      <c r="G98" s="14" t="n"/>
      <c r="H98" s="14" t="n"/>
      <c r="I98" s="16">
        <f>IF(A98="","",IF(C98&lt;B98,"km Ende &lt; km Beginn",IF(AND(ROW()&gt;5,B98&lt;&gt;"",INDEX($C$5:$C$404,ROW()-5)&lt;&gt;"",B98&lt;&gt;INDEX($C$5:$C$404,ROW()-5)),"LÜCKE im km-Stand",IF(AND(E98="betrieblich",OR(F98="",G98="",H98="")),"Pflichtangabe fehlt","ok"))))</f>
        <v/>
      </c>
    </row>
    <row r="99">
      <c r="A99" s="13" t="n"/>
      <c r="B99" s="14" t="n"/>
      <c r="C99" s="14" t="n"/>
      <c r="D99" s="15">
        <f>IF(OR(B99="",C99=""),"",C99-B99)</f>
        <v/>
      </c>
      <c r="E99" s="14" t="n"/>
      <c r="F99" s="14" t="n"/>
      <c r="G99" s="14" t="n"/>
      <c r="H99" s="14" t="n"/>
      <c r="I99" s="16">
        <f>IF(A99="","",IF(C99&lt;B99,"km Ende &lt; km Beginn",IF(AND(ROW()&gt;5,B99&lt;&gt;"",INDEX($C$5:$C$404,ROW()-5)&lt;&gt;"",B99&lt;&gt;INDEX($C$5:$C$404,ROW()-5)),"LÜCKE im km-Stand",IF(AND(E99="betrieblich",OR(F99="",G99="",H99="")),"Pflichtangabe fehlt","ok"))))</f>
        <v/>
      </c>
    </row>
    <row r="100">
      <c r="A100" s="13" t="n"/>
      <c r="B100" s="14" t="n"/>
      <c r="C100" s="14" t="n"/>
      <c r="D100" s="15">
        <f>IF(OR(B100="",C100=""),"",C100-B100)</f>
        <v/>
      </c>
      <c r="E100" s="14" t="n"/>
      <c r="F100" s="14" t="n"/>
      <c r="G100" s="14" t="n"/>
      <c r="H100" s="14" t="n"/>
      <c r="I100" s="16">
        <f>IF(A100="","",IF(C100&lt;B100,"km Ende &lt; km Beginn",IF(AND(ROW()&gt;5,B100&lt;&gt;"",INDEX($C$5:$C$404,ROW()-5)&lt;&gt;"",B100&lt;&gt;INDEX($C$5:$C$404,ROW()-5)),"LÜCKE im km-Stand",IF(AND(E100="betrieblich",OR(F100="",G100="",H100="")),"Pflichtangabe fehlt","ok"))))</f>
        <v/>
      </c>
    </row>
    <row r="101">
      <c r="A101" s="13" t="n"/>
      <c r="B101" s="14" t="n"/>
      <c r="C101" s="14" t="n"/>
      <c r="D101" s="15">
        <f>IF(OR(B101="",C101=""),"",C101-B101)</f>
        <v/>
      </c>
      <c r="E101" s="14" t="n"/>
      <c r="F101" s="14" t="n"/>
      <c r="G101" s="14" t="n"/>
      <c r="H101" s="14" t="n"/>
      <c r="I101" s="16">
        <f>IF(A101="","",IF(C101&lt;B101,"km Ende &lt; km Beginn",IF(AND(ROW()&gt;5,B101&lt;&gt;"",INDEX($C$5:$C$404,ROW()-5)&lt;&gt;"",B101&lt;&gt;INDEX($C$5:$C$404,ROW()-5)),"LÜCKE im km-Stand",IF(AND(E101="betrieblich",OR(F101="",G101="",H101="")),"Pflichtangabe fehlt","ok"))))</f>
        <v/>
      </c>
    </row>
    <row r="102">
      <c r="A102" s="13" t="n"/>
      <c r="B102" s="14" t="n"/>
      <c r="C102" s="14" t="n"/>
      <c r="D102" s="15">
        <f>IF(OR(B102="",C102=""),"",C102-B102)</f>
        <v/>
      </c>
      <c r="E102" s="14" t="n"/>
      <c r="F102" s="14" t="n"/>
      <c r="G102" s="14" t="n"/>
      <c r="H102" s="14" t="n"/>
      <c r="I102" s="16">
        <f>IF(A102="","",IF(C102&lt;B102,"km Ende &lt; km Beginn",IF(AND(ROW()&gt;5,B102&lt;&gt;"",INDEX($C$5:$C$404,ROW()-5)&lt;&gt;"",B102&lt;&gt;INDEX($C$5:$C$404,ROW()-5)),"LÜCKE im km-Stand",IF(AND(E102="betrieblich",OR(F102="",G102="",H102="")),"Pflichtangabe fehlt","ok"))))</f>
        <v/>
      </c>
    </row>
    <row r="103">
      <c r="A103" s="13" t="n"/>
      <c r="B103" s="14" t="n"/>
      <c r="C103" s="14" t="n"/>
      <c r="D103" s="15">
        <f>IF(OR(B103="",C103=""),"",C103-B103)</f>
        <v/>
      </c>
      <c r="E103" s="14" t="n"/>
      <c r="F103" s="14" t="n"/>
      <c r="G103" s="14" t="n"/>
      <c r="H103" s="14" t="n"/>
      <c r="I103" s="16">
        <f>IF(A103="","",IF(C103&lt;B103,"km Ende &lt; km Beginn",IF(AND(ROW()&gt;5,B103&lt;&gt;"",INDEX($C$5:$C$404,ROW()-5)&lt;&gt;"",B103&lt;&gt;INDEX($C$5:$C$404,ROW()-5)),"LÜCKE im km-Stand",IF(AND(E103="betrieblich",OR(F103="",G103="",H103="")),"Pflichtangabe fehlt","ok"))))</f>
        <v/>
      </c>
    </row>
    <row r="104">
      <c r="A104" s="13" t="n"/>
      <c r="B104" s="14" t="n"/>
      <c r="C104" s="14" t="n"/>
      <c r="D104" s="15">
        <f>IF(OR(B104="",C104=""),"",C104-B104)</f>
        <v/>
      </c>
      <c r="E104" s="14" t="n"/>
      <c r="F104" s="14" t="n"/>
      <c r="G104" s="14" t="n"/>
      <c r="H104" s="14" t="n"/>
      <c r="I104" s="16">
        <f>IF(A104="","",IF(C104&lt;B104,"km Ende &lt; km Beginn",IF(AND(ROW()&gt;5,B104&lt;&gt;"",INDEX($C$5:$C$404,ROW()-5)&lt;&gt;"",B104&lt;&gt;INDEX($C$5:$C$404,ROW()-5)),"LÜCKE im km-Stand",IF(AND(E104="betrieblich",OR(F104="",G104="",H104="")),"Pflichtangabe fehlt","ok"))))</f>
        <v/>
      </c>
    </row>
    <row r="105">
      <c r="A105" s="13" t="n"/>
      <c r="B105" s="14" t="n"/>
      <c r="C105" s="14" t="n"/>
      <c r="D105" s="15">
        <f>IF(OR(B105="",C105=""),"",C105-B105)</f>
        <v/>
      </c>
      <c r="E105" s="14" t="n"/>
      <c r="F105" s="14" t="n"/>
      <c r="G105" s="14" t="n"/>
      <c r="H105" s="14" t="n"/>
      <c r="I105" s="16">
        <f>IF(A105="","",IF(C105&lt;B105,"km Ende &lt; km Beginn",IF(AND(ROW()&gt;5,B105&lt;&gt;"",INDEX($C$5:$C$404,ROW()-5)&lt;&gt;"",B105&lt;&gt;INDEX($C$5:$C$404,ROW()-5)),"LÜCKE im km-Stand",IF(AND(E105="betrieblich",OR(F105="",G105="",H105="")),"Pflichtangabe fehlt","ok"))))</f>
        <v/>
      </c>
    </row>
    <row r="106">
      <c r="A106" s="13" t="n"/>
      <c r="B106" s="14" t="n"/>
      <c r="C106" s="14" t="n"/>
      <c r="D106" s="15">
        <f>IF(OR(B106="",C106=""),"",C106-B106)</f>
        <v/>
      </c>
      <c r="E106" s="14" t="n"/>
      <c r="F106" s="14" t="n"/>
      <c r="G106" s="14" t="n"/>
      <c r="H106" s="14" t="n"/>
      <c r="I106" s="16">
        <f>IF(A106="","",IF(C106&lt;B106,"km Ende &lt; km Beginn",IF(AND(ROW()&gt;5,B106&lt;&gt;"",INDEX($C$5:$C$404,ROW()-5)&lt;&gt;"",B106&lt;&gt;INDEX($C$5:$C$404,ROW()-5)),"LÜCKE im km-Stand",IF(AND(E106="betrieblich",OR(F106="",G106="",H106="")),"Pflichtangabe fehlt","ok"))))</f>
        <v/>
      </c>
    </row>
    <row r="107">
      <c r="A107" s="13" t="n"/>
      <c r="B107" s="14" t="n"/>
      <c r="C107" s="14" t="n"/>
      <c r="D107" s="15">
        <f>IF(OR(B107="",C107=""),"",C107-B107)</f>
        <v/>
      </c>
      <c r="E107" s="14" t="n"/>
      <c r="F107" s="14" t="n"/>
      <c r="G107" s="14" t="n"/>
      <c r="H107" s="14" t="n"/>
      <c r="I107" s="16">
        <f>IF(A107="","",IF(C107&lt;B107,"km Ende &lt; km Beginn",IF(AND(ROW()&gt;5,B107&lt;&gt;"",INDEX($C$5:$C$404,ROW()-5)&lt;&gt;"",B107&lt;&gt;INDEX($C$5:$C$404,ROW()-5)),"LÜCKE im km-Stand",IF(AND(E107="betrieblich",OR(F107="",G107="",H107="")),"Pflichtangabe fehlt","ok"))))</f>
        <v/>
      </c>
    </row>
    <row r="108">
      <c r="A108" s="13" t="n"/>
      <c r="B108" s="14" t="n"/>
      <c r="C108" s="14" t="n"/>
      <c r="D108" s="15">
        <f>IF(OR(B108="",C108=""),"",C108-B108)</f>
        <v/>
      </c>
      <c r="E108" s="14" t="n"/>
      <c r="F108" s="14" t="n"/>
      <c r="G108" s="14" t="n"/>
      <c r="H108" s="14" t="n"/>
      <c r="I108" s="16">
        <f>IF(A108="","",IF(C108&lt;B108,"km Ende &lt; km Beginn",IF(AND(ROW()&gt;5,B108&lt;&gt;"",INDEX($C$5:$C$404,ROW()-5)&lt;&gt;"",B108&lt;&gt;INDEX($C$5:$C$404,ROW()-5)),"LÜCKE im km-Stand",IF(AND(E108="betrieblich",OR(F108="",G108="",H108="")),"Pflichtangabe fehlt","ok"))))</f>
        <v/>
      </c>
    </row>
    <row r="109">
      <c r="A109" s="13" t="n"/>
      <c r="B109" s="14" t="n"/>
      <c r="C109" s="14" t="n"/>
      <c r="D109" s="15">
        <f>IF(OR(B109="",C109=""),"",C109-B109)</f>
        <v/>
      </c>
      <c r="E109" s="14" t="n"/>
      <c r="F109" s="14" t="n"/>
      <c r="G109" s="14" t="n"/>
      <c r="H109" s="14" t="n"/>
      <c r="I109" s="16">
        <f>IF(A109="","",IF(C109&lt;B109,"km Ende &lt; km Beginn",IF(AND(ROW()&gt;5,B109&lt;&gt;"",INDEX($C$5:$C$404,ROW()-5)&lt;&gt;"",B109&lt;&gt;INDEX($C$5:$C$404,ROW()-5)),"LÜCKE im km-Stand",IF(AND(E109="betrieblich",OR(F109="",G109="",H109="")),"Pflichtangabe fehlt","ok"))))</f>
        <v/>
      </c>
    </row>
    <row r="110">
      <c r="A110" s="13" t="n"/>
      <c r="B110" s="14" t="n"/>
      <c r="C110" s="14" t="n"/>
      <c r="D110" s="15">
        <f>IF(OR(B110="",C110=""),"",C110-B110)</f>
        <v/>
      </c>
      <c r="E110" s="14" t="n"/>
      <c r="F110" s="14" t="n"/>
      <c r="G110" s="14" t="n"/>
      <c r="H110" s="14" t="n"/>
      <c r="I110" s="16">
        <f>IF(A110="","",IF(C110&lt;B110,"km Ende &lt; km Beginn",IF(AND(ROW()&gt;5,B110&lt;&gt;"",INDEX($C$5:$C$404,ROW()-5)&lt;&gt;"",B110&lt;&gt;INDEX($C$5:$C$404,ROW()-5)),"LÜCKE im km-Stand",IF(AND(E110="betrieblich",OR(F110="",G110="",H110="")),"Pflichtangabe fehlt","ok"))))</f>
        <v/>
      </c>
    </row>
    <row r="111">
      <c r="A111" s="13" t="n"/>
      <c r="B111" s="14" t="n"/>
      <c r="C111" s="14" t="n"/>
      <c r="D111" s="15">
        <f>IF(OR(B111="",C111=""),"",C111-B111)</f>
        <v/>
      </c>
      <c r="E111" s="14" t="n"/>
      <c r="F111" s="14" t="n"/>
      <c r="G111" s="14" t="n"/>
      <c r="H111" s="14" t="n"/>
      <c r="I111" s="16">
        <f>IF(A111="","",IF(C111&lt;B111,"km Ende &lt; km Beginn",IF(AND(ROW()&gt;5,B111&lt;&gt;"",INDEX($C$5:$C$404,ROW()-5)&lt;&gt;"",B111&lt;&gt;INDEX($C$5:$C$404,ROW()-5)),"LÜCKE im km-Stand",IF(AND(E111="betrieblich",OR(F111="",G111="",H111="")),"Pflichtangabe fehlt","ok"))))</f>
        <v/>
      </c>
    </row>
    <row r="112">
      <c r="A112" s="13" t="n"/>
      <c r="B112" s="14" t="n"/>
      <c r="C112" s="14" t="n"/>
      <c r="D112" s="15">
        <f>IF(OR(B112="",C112=""),"",C112-B112)</f>
        <v/>
      </c>
      <c r="E112" s="14" t="n"/>
      <c r="F112" s="14" t="n"/>
      <c r="G112" s="14" t="n"/>
      <c r="H112" s="14" t="n"/>
      <c r="I112" s="16">
        <f>IF(A112="","",IF(C112&lt;B112,"km Ende &lt; km Beginn",IF(AND(ROW()&gt;5,B112&lt;&gt;"",INDEX($C$5:$C$404,ROW()-5)&lt;&gt;"",B112&lt;&gt;INDEX($C$5:$C$404,ROW()-5)),"LÜCKE im km-Stand",IF(AND(E112="betrieblich",OR(F112="",G112="",H112="")),"Pflichtangabe fehlt","ok"))))</f>
        <v/>
      </c>
    </row>
    <row r="113">
      <c r="A113" s="13" t="n"/>
      <c r="B113" s="14" t="n"/>
      <c r="C113" s="14" t="n"/>
      <c r="D113" s="15">
        <f>IF(OR(B113="",C113=""),"",C113-B113)</f>
        <v/>
      </c>
      <c r="E113" s="14" t="n"/>
      <c r="F113" s="14" t="n"/>
      <c r="G113" s="14" t="n"/>
      <c r="H113" s="14" t="n"/>
      <c r="I113" s="16">
        <f>IF(A113="","",IF(C113&lt;B113,"km Ende &lt; km Beginn",IF(AND(ROW()&gt;5,B113&lt;&gt;"",INDEX($C$5:$C$404,ROW()-5)&lt;&gt;"",B113&lt;&gt;INDEX($C$5:$C$404,ROW()-5)),"LÜCKE im km-Stand",IF(AND(E113="betrieblich",OR(F113="",G113="",H113="")),"Pflichtangabe fehlt","ok"))))</f>
        <v/>
      </c>
    </row>
    <row r="114">
      <c r="A114" s="13" t="n"/>
      <c r="B114" s="14" t="n"/>
      <c r="C114" s="14" t="n"/>
      <c r="D114" s="15">
        <f>IF(OR(B114="",C114=""),"",C114-B114)</f>
        <v/>
      </c>
      <c r="E114" s="14" t="n"/>
      <c r="F114" s="14" t="n"/>
      <c r="G114" s="14" t="n"/>
      <c r="H114" s="14" t="n"/>
      <c r="I114" s="16">
        <f>IF(A114="","",IF(C114&lt;B114,"km Ende &lt; km Beginn",IF(AND(ROW()&gt;5,B114&lt;&gt;"",INDEX($C$5:$C$404,ROW()-5)&lt;&gt;"",B114&lt;&gt;INDEX($C$5:$C$404,ROW()-5)),"LÜCKE im km-Stand",IF(AND(E114="betrieblich",OR(F114="",G114="",H114="")),"Pflichtangabe fehlt","ok"))))</f>
        <v/>
      </c>
    </row>
    <row r="115">
      <c r="A115" s="13" t="n"/>
      <c r="B115" s="14" t="n"/>
      <c r="C115" s="14" t="n"/>
      <c r="D115" s="15">
        <f>IF(OR(B115="",C115=""),"",C115-B115)</f>
        <v/>
      </c>
      <c r="E115" s="14" t="n"/>
      <c r="F115" s="14" t="n"/>
      <c r="G115" s="14" t="n"/>
      <c r="H115" s="14" t="n"/>
      <c r="I115" s="16">
        <f>IF(A115="","",IF(C115&lt;B115,"km Ende &lt; km Beginn",IF(AND(ROW()&gt;5,B115&lt;&gt;"",INDEX($C$5:$C$404,ROW()-5)&lt;&gt;"",B115&lt;&gt;INDEX($C$5:$C$404,ROW()-5)),"LÜCKE im km-Stand",IF(AND(E115="betrieblich",OR(F115="",G115="",H115="")),"Pflichtangabe fehlt","ok"))))</f>
        <v/>
      </c>
    </row>
    <row r="116">
      <c r="A116" s="13" t="n"/>
      <c r="B116" s="14" t="n"/>
      <c r="C116" s="14" t="n"/>
      <c r="D116" s="15">
        <f>IF(OR(B116="",C116=""),"",C116-B116)</f>
        <v/>
      </c>
      <c r="E116" s="14" t="n"/>
      <c r="F116" s="14" t="n"/>
      <c r="G116" s="14" t="n"/>
      <c r="H116" s="14" t="n"/>
      <c r="I116" s="16">
        <f>IF(A116="","",IF(C116&lt;B116,"km Ende &lt; km Beginn",IF(AND(ROW()&gt;5,B116&lt;&gt;"",INDEX($C$5:$C$404,ROW()-5)&lt;&gt;"",B116&lt;&gt;INDEX($C$5:$C$404,ROW()-5)),"LÜCKE im km-Stand",IF(AND(E116="betrieblich",OR(F116="",G116="",H116="")),"Pflichtangabe fehlt","ok"))))</f>
        <v/>
      </c>
    </row>
    <row r="117">
      <c r="A117" s="13" t="n"/>
      <c r="B117" s="14" t="n"/>
      <c r="C117" s="14" t="n"/>
      <c r="D117" s="15">
        <f>IF(OR(B117="",C117=""),"",C117-B117)</f>
        <v/>
      </c>
      <c r="E117" s="14" t="n"/>
      <c r="F117" s="14" t="n"/>
      <c r="G117" s="14" t="n"/>
      <c r="H117" s="14" t="n"/>
      <c r="I117" s="16">
        <f>IF(A117="","",IF(C117&lt;B117,"km Ende &lt; km Beginn",IF(AND(ROW()&gt;5,B117&lt;&gt;"",INDEX($C$5:$C$404,ROW()-5)&lt;&gt;"",B117&lt;&gt;INDEX($C$5:$C$404,ROW()-5)),"LÜCKE im km-Stand",IF(AND(E117="betrieblich",OR(F117="",G117="",H117="")),"Pflichtangabe fehlt","ok"))))</f>
        <v/>
      </c>
    </row>
    <row r="118">
      <c r="A118" s="13" t="n"/>
      <c r="B118" s="14" t="n"/>
      <c r="C118" s="14" t="n"/>
      <c r="D118" s="15">
        <f>IF(OR(B118="",C118=""),"",C118-B118)</f>
        <v/>
      </c>
      <c r="E118" s="14" t="n"/>
      <c r="F118" s="14" t="n"/>
      <c r="G118" s="14" t="n"/>
      <c r="H118" s="14" t="n"/>
      <c r="I118" s="16">
        <f>IF(A118="","",IF(C118&lt;B118,"km Ende &lt; km Beginn",IF(AND(ROW()&gt;5,B118&lt;&gt;"",INDEX($C$5:$C$404,ROW()-5)&lt;&gt;"",B118&lt;&gt;INDEX($C$5:$C$404,ROW()-5)),"LÜCKE im km-Stand",IF(AND(E118="betrieblich",OR(F118="",G118="",H118="")),"Pflichtangabe fehlt","ok"))))</f>
        <v/>
      </c>
    </row>
    <row r="119">
      <c r="A119" s="13" t="n"/>
      <c r="B119" s="14" t="n"/>
      <c r="C119" s="14" t="n"/>
      <c r="D119" s="15">
        <f>IF(OR(B119="",C119=""),"",C119-B119)</f>
        <v/>
      </c>
      <c r="E119" s="14" t="n"/>
      <c r="F119" s="14" t="n"/>
      <c r="G119" s="14" t="n"/>
      <c r="H119" s="14" t="n"/>
      <c r="I119" s="16">
        <f>IF(A119="","",IF(C119&lt;B119,"km Ende &lt; km Beginn",IF(AND(ROW()&gt;5,B119&lt;&gt;"",INDEX($C$5:$C$404,ROW()-5)&lt;&gt;"",B119&lt;&gt;INDEX($C$5:$C$404,ROW()-5)),"LÜCKE im km-Stand",IF(AND(E119="betrieblich",OR(F119="",G119="",H119="")),"Pflichtangabe fehlt","ok"))))</f>
        <v/>
      </c>
    </row>
    <row r="120">
      <c r="A120" s="13" t="n"/>
      <c r="B120" s="14" t="n"/>
      <c r="C120" s="14" t="n"/>
      <c r="D120" s="15">
        <f>IF(OR(B120="",C120=""),"",C120-B120)</f>
        <v/>
      </c>
      <c r="E120" s="14" t="n"/>
      <c r="F120" s="14" t="n"/>
      <c r="G120" s="14" t="n"/>
      <c r="H120" s="14" t="n"/>
      <c r="I120" s="16">
        <f>IF(A120="","",IF(C120&lt;B120,"km Ende &lt; km Beginn",IF(AND(ROW()&gt;5,B120&lt;&gt;"",INDEX($C$5:$C$404,ROW()-5)&lt;&gt;"",B120&lt;&gt;INDEX($C$5:$C$404,ROW()-5)),"LÜCKE im km-Stand",IF(AND(E120="betrieblich",OR(F120="",G120="",H120="")),"Pflichtangabe fehlt","ok"))))</f>
        <v/>
      </c>
    </row>
    <row r="121">
      <c r="A121" s="13" t="n"/>
      <c r="B121" s="14" t="n"/>
      <c r="C121" s="14" t="n"/>
      <c r="D121" s="15">
        <f>IF(OR(B121="",C121=""),"",C121-B121)</f>
        <v/>
      </c>
      <c r="E121" s="14" t="n"/>
      <c r="F121" s="14" t="n"/>
      <c r="G121" s="14" t="n"/>
      <c r="H121" s="14" t="n"/>
      <c r="I121" s="16">
        <f>IF(A121="","",IF(C121&lt;B121,"km Ende &lt; km Beginn",IF(AND(ROW()&gt;5,B121&lt;&gt;"",INDEX($C$5:$C$404,ROW()-5)&lt;&gt;"",B121&lt;&gt;INDEX($C$5:$C$404,ROW()-5)),"LÜCKE im km-Stand",IF(AND(E121="betrieblich",OR(F121="",G121="",H121="")),"Pflichtangabe fehlt","ok"))))</f>
        <v/>
      </c>
    </row>
    <row r="122">
      <c r="A122" s="13" t="n"/>
      <c r="B122" s="14" t="n"/>
      <c r="C122" s="14" t="n"/>
      <c r="D122" s="15">
        <f>IF(OR(B122="",C122=""),"",C122-B122)</f>
        <v/>
      </c>
      <c r="E122" s="14" t="n"/>
      <c r="F122" s="14" t="n"/>
      <c r="G122" s="14" t="n"/>
      <c r="H122" s="14" t="n"/>
      <c r="I122" s="16">
        <f>IF(A122="","",IF(C122&lt;B122,"km Ende &lt; km Beginn",IF(AND(ROW()&gt;5,B122&lt;&gt;"",INDEX($C$5:$C$404,ROW()-5)&lt;&gt;"",B122&lt;&gt;INDEX($C$5:$C$404,ROW()-5)),"LÜCKE im km-Stand",IF(AND(E122="betrieblich",OR(F122="",G122="",H122="")),"Pflichtangabe fehlt","ok"))))</f>
        <v/>
      </c>
    </row>
    <row r="123">
      <c r="A123" s="13" t="n"/>
      <c r="B123" s="14" t="n"/>
      <c r="C123" s="14" t="n"/>
      <c r="D123" s="15">
        <f>IF(OR(B123="",C123=""),"",C123-B123)</f>
        <v/>
      </c>
      <c r="E123" s="14" t="n"/>
      <c r="F123" s="14" t="n"/>
      <c r="G123" s="14" t="n"/>
      <c r="H123" s="14" t="n"/>
      <c r="I123" s="16">
        <f>IF(A123="","",IF(C123&lt;B123,"km Ende &lt; km Beginn",IF(AND(ROW()&gt;5,B123&lt;&gt;"",INDEX($C$5:$C$404,ROW()-5)&lt;&gt;"",B123&lt;&gt;INDEX($C$5:$C$404,ROW()-5)),"LÜCKE im km-Stand",IF(AND(E123="betrieblich",OR(F123="",G123="",H123="")),"Pflichtangabe fehlt","ok"))))</f>
        <v/>
      </c>
    </row>
    <row r="124">
      <c r="A124" s="13" t="n"/>
      <c r="B124" s="14" t="n"/>
      <c r="C124" s="14" t="n"/>
      <c r="D124" s="15">
        <f>IF(OR(B124="",C124=""),"",C124-B124)</f>
        <v/>
      </c>
      <c r="E124" s="14" t="n"/>
      <c r="F124" s="14" t="n"/>
      <c r="G124" s="14" t="n"/>
      <c r="H124" s="14" t="n"/>
      <c r="I124" s="16">
        <f>IF(A124="","",IF(C124&lt;B124,"km Ende &lt; km Beginn",IF(AND(ROW()&gt;5,B124&lt;&gt;"",INDEX($C$5:$C$404,ROW()-5)&lt;&gt;"",B124&lt;&gt;INDEX($C$5:$C$404,ROW()-5)),"LÜCKE im km-Stand",IF(AND(E124="betrieblich",OR(F124="",G124="",H124="")),"Pflichtangabe fehlt","ok"))))</f>
        <v/>
      </c>
    </row>
    <row r="125">
      <c r="A125" s="13" t="n"/>
      <c r="B125" s="14" t="n"/>
      <c r="C125" s="14" t="n"/>
      <c r="D125" s="15">
        <f>IF(OR(B125="",C125=""),"",C125-B125)</f>
        <v/>
      </c>
      <c r="E125" s="14" t="n"/>
      <c r="F125" s="14" t="n"/>
      <c r="G125" s="14" t="n"/>
      <c r="H125" s="14" t="n"/>
      <c r="I125" s="16">
        <f>IF(A125="","",IF(C125&lt;B125,"km Ende &lt; km Beginn",IF(AND(ROW()&gt;5,B125&lt;&gt;"",INDEX($C$5:$C$404,ROW()-5)&lt;&gt;"",B125&lt;&gt;INDEX($C$5:$C$404,ROW()-5)),"LÜCKE im km-Stand",IF(AND(E125="betrieblich",OR(F125="",G125="",H125="")),"Pflichtangabe fehlt","ok"))))</f>
        <v/>
      </c>
    </row>
    <row r="126">
      <c r="A126" s="13" t="n"/>
      <c r="B126" s="14" t="n"/>
      <c r="C126" s="14" t="n"/>
      <c r="D126" s="15">
        <f>IF(OR(B126="",C126=""),"",C126-B126)</f>
        <v/>
      </c>
      <c r="E126" s="14" t="n"/>
      <c r="F126" s="14" t="n"/>
      <c r="G126" s="14" t="n"/>
      <c r="H126" s="14" t="n"/>
      <c r="I126" s="16">
        <f>IF(A126="","",IF(C126&lt;B126,"km Ende &lt; km Beginn",IF(AND(ROW()&gt;5,B126&lt;&gt;"",INDEX($C$5:$C$404,ROW()-5)&lt;&gt;"",B126&lt;&gt;INDEX($C$5:$C$404,ROW()-5)),"LÜCKE im km-Stand",IF(AND(E126="betrieblich",OR(F126="",G126="",H126="")),"Pflichtangabe fehlt","ok"))))</f>
        <v/>
      </c>
    </row>
    <row r="127">
      <c r="A127" s="13" t="n"/>
      <c r="B127" s="14" t="n"/>
      <c r="C127" s="14" t="n"/>
      <c r="D127" s="15">
        <f>IF(OR(B127="",C127=""),"",C127-B127)</f>
        <v/>
      </c>
      <c r="E127" s="14" t="n"/>
      <c r="F127" s="14" t="n"/>
      <c r="G127" s="14" t="n"/>
      <c r="H127" s="14" t="n"/>
      <c r="I127" s="16">
        <f>IF(A127="","",IF(C127&lt;B127,"km Ende &lt; km Beginn",IF(AND(ROW()&gt;5,B127&lt;&gt;"",INDEX($C$5:$C$404,ROW()-5)&lt;&gt;"",B127&lt;&gt;INDEX($C$5:$C$404,ROW()-5)),"LÜCKE im km-Stand",IF(AND(E127="betrieblich",OR(F127="",G127="",H127="")),"Pflichtangabe fehlt","ok"))))</f>
        <v/>
      </c>
    </row>
    <row r="128">
      <c r="A128" s="13" t="n"/>
      <c r="B128" s="14" t="n"/>
      <c r="C128" s="14" t="n"/>
      <c r="D128" s="15">
        <f>IF(OR(B128="",C128=""),"",C128-B128)</f>
        <v/>
      </c>
      <c r="E128" s="14" t="n"/>
      <c r="F128" s="14" t="n"/>
      <c r="G128" s="14" t="n"/>
      <c r="H128" s="14" t="n"/>
      <c r="I128" s="16">
        <f>IF(A128="","",IF(C128&lt;B128,"km Ende &lt; km Beginn",IF(AND(ROW()&gt;5,B128&lt;&gt;"",INDEX($C$5:$C$404,ROW()-5)&lt;&gt;"",B128&lt;&gt;INDEX($C$5:$C$404,ROW()-5)),"LÜCKE im km-Stand",IF(AND(E128="betrieblich",OR(F128="",G128="",H128="")),"Pflichtangabe fehlt","ok"))))</f>
        <v/>
      </c>
    </row>
    <row r="129">
      <c r="A129" s="13" t="n"/>
      <c r="B129" s="14" t="n"/>
      <c r="C129" s="14" t="n"/>
      <c r="D129" s="15">
        <f>IF(OR(B129="",C129=""),"",C129-B129)</f>
        <v/>
      </c>
      <c r="E129" s="14" t="n"/>
      <c r="F129" s="14" t="n"/>
      <c r="G129" s="14" t="n"/>
      <c r="H129" s="14" t="n"/>
      <c r="I129" s="16">
        <f>IF(A129="","",IF(C129&lt;B129,"km Ende &lt; km Beginn",IF(AND(ROW()&gt;5,B129&lt;&gt;"",INDEX($C$5:$C$404,ROW()-5)&lt;&gt;"",B129&lt;&gt;INDEX($C$5:$C$404,ROW()-5)),"LÜCKE im km-Stand",IF(AND(E129="betrieblich",OR(F129="",G129="",H129="")),"Pflichtangabe fehlt","ok"))))</f>
        <v/>
      </c>
    </row>
    <row r="130">
      <c r="A130" s="13" t="n"/>
      <c r="B130" s="14" t="n"/>
      <c r="C130" s="14" t="n"/>
      <c r="D130" s="15">
        <f>IF(OR(B130="",C130=""),"",C130-B130)</f>
        <v/>
      </c>
      <c r="E130" s="14" t="n"/>
      <c r="F130" s="14" t="n"/>
      <c r="G130" s="14" t="n"/>
      <c r="H130" s="14" t="n"/>
      <c r="I130" s="16">
        <f>IF(A130="","",IF(C130&lt;B130,"km Ende &lt; km Beginn",IF(AND(ROW()&gt;5,B130&lt;&gt;"",INDEX($C$5:$C$404,ROW()-5)&lt;&gt;"",B130&lt;&gt;INDEX($C$5:$C$404,ROW()-5)),"LÜCKE im km-Stand",IF(AND(E130="betrieblich",OR(F130="",G130="",H130="")),"Pflichtangabe fehlt","ok"))))</f>
        <v/>
      </c>
    </row>
    <row r="131">
      <c r="A131" s="13" t="n"/>
      <c r="B131" s="14" t="n"/>
      <c r="C131" s="14" t="n"/>
      <c r="D131" s="15">
        <f>IF(OR(B131="",C131=""),"",C131-B131)</f>
        <v/>
      </c>
      <c r="E131" s="14" t="n"/>
      <c r="F131" s="14" t="n"/>
      <c r="G131" s="14" t="n"/>
      <c r="H131" s="14" t="n"/>
      <c r="I131" s="16">
        <f>IF(A131="","",IF(C131&lt;B131,"km Ende &lt; km Beginn",IF(AND(ROW()&gt;5,B131&lt;&gt;"",INDEX($C$5:$C$404,ROW()-5)&lt;&gt;"",B131&lt;&gt;INDEX($C$5:$C$404,ROW()-5)),"LÜCKE im km-Stand",IF(AND(E131="betrieblich",OR(F131="",G131="",H131="")),"Pflichtangabe fehlt","ok"))))</f>
        <v/>
      </c>
    </row>
    <row r="132">
      <c r="A132" s="13" t="n"/>
      <c r="B132" s="14" t="n"/>
      <c r="C132" s="14" t="n"/>
      <c r="D132" s="15">
        <f>IF(OR(B132="",C132=""),"",C132-B132)</f>
        <v/>
      </c>
      <c r="E132" s="14" t="n"/>
      <c r="F132" s="14" t="n"/>
      <c r="G132" s="14" t="n"/>
      <c r="H132" s="14" t="n"/>
      <c r="I132" s="16">
        <f>IF(A132="","",IF(C132&lt;B132,"km Ende &lt; km Beginn",IF(AND(ROW()&gt;5,B132&lt;&gt;"",INDEX($C$5:$C$404,ROW()-5)&lt;&gt;"",B132&lt;&gt;INDEX($C$5:$C$404,ROW()-5)),"LÜCKE im km-Stand",IF(AND(E132="betrieblich",OR(F132="",G132="",H132="")),"Pflichtangabe fehlt","ok"))))</f>
        <v/>
      </c>
    </row>
    <row r="133">
      <c r="A133" s="13" t="n"/>
      <c r="B133" s="14" t="n"/>
      <c r="C133" s="14" t="n"/>
      <c r="D133" s="15">
        <f>IF(OR(B133="",C133=""),"",C133-B133)</f>
        <v/>
      </c>
      <c r="E133" s="14" t="n"/>
      <c r="F133" s="14" t="n"/>
      <c r="G133" s="14" t="n"/>
      <c r="H133" s="14" t="n"/>
      <c r="I133" s="16">
        <f>IF(A133="","",IF(C133&lt;B133,"km Ende &lt; km Beginn",IF(AND(ROW()&gt;5,B133&lt;&gt;"",INDEX($C$5:$C$404,ROW()-5)&lt;&gt;"",B133&lt;&gt;INDEX($C$5:$C$404,ROW()-5)),"LÜCKE im km-Stand",IF(AND(E133="betrieblich",OR(F133="",G133="",H133="")),"Pflichtangabe fehlt","ok"))))</f>
        <v/>
      </c>
    </row>
    <row r="134">
      <c r="A134" s="13" t="n"/>
      <c r="B134" s="14" t="n"/>
      <c r="C134" s="14" t="n"/>
      <c r="D134" s="15">
        <f>IF(OR(B134="",C134=""),"",C134-B134)</f>
        <v/>
      </c>
      <c r="E134" s="14" t="n"/>
      <c r="F134" s="14" t="n"/>
      <c r="G134" s="14" t="n"/>
      <c r="H134" s="14" t="n"/>
      <c r="I134" s="16">
        <f>IF(A134="","",IF(C134&lt;B134,"km Ende &lt; km Beginn",IF(AND(ROW()&gt;5,B134&lt;&gt;"",INDEX($C$5:$C$404,ROW()-5)&lt;&gt;"",B134&lt;&gt;INDEX($C$5:$C$404,ROW()-5)),"LÜCKE im km-Stand",IF(AND(E134="betrieblich",OR(F134="",G134="",H134="")),"Pflichtangabe fehlt","ok"))))</f>
        <v/>
      </c>
    </row>
    <row r="135">
      <c r="A135" s="13" t="n"/>
      <c r="B135" s="14" t="n"/>
      <c r="C135" s="14" t="n"/>
      <c r="D135" s="15">
        <f>IF(OR(B135="",C135=""),"",C135-B135)</f>
        <v/>
      </c>
      <c r="E135" s="14" t="n"/>
      <c r="F135" s="14" t="n"/>
      <c r="G135" s="14" t="n"/>
      <c r="H135" s="14" t="n"/>
      <c r="I135" s="16">
        <f>IF(A135="","",IF(C135&lt;B135,"km Ende &lt; km Beginn",IF(AND(ROW()&gt;5,B135&lt;&gt;"",INDEX($C$5:$C$404,ROW()-5)&lt;&gt;"",B135&lt;&gt;INDEX($C$5:$C$404,ROW()-5)),"LÜCKE im km-Stand",IF(AND(E135="betrieblich",OR(F135="",G135="",H135="")),"Pflichtangabe fehlt","ok"))))</f>
        <v/>
      </c>
    </row>
    <row r="136">
      <c r="A136" s="13" t="n"/>
      <c r="B136" s="14" t="n"/>
      <c r="C136" s="14" t="n"/>
      <c r="D136" s="15">
        <f>IF(OR(B136="",C136=""),"",C136-B136)</f>
        <v/>
      </c>
      <c r="E136" s="14" t="n"/>
      <c r="F136" s="14" t="n"/>
      <c r="G136" s="14" t="n"/>
      <c r="H136" s="14" t="n"/>
      <c r="I136" s="16">
        <f>IF(A136="","",IF(C136&lt;B136,"km Ende &lt; km Beginn",IF(AND(ROW()&gt;5,B136&lt;&gt;"",INDEX($C$5:$C$404,ROW()-5)&lt;&gt;"",B136&lt;&gt;INDEX($C$5:$C$404,ROW()-5)),"LÜCKE im km-Stand",IF(AND(E136="betrieblich",OR(F136="",G136="",H136="")),"Pflichtangabe fehlt","ok"))))</f>
        <v/>
      </c>
    </row>
    <row r="137">
      <c r="A137" s="13" t="n"/>
      <c r="B137" s="14" t="n"/>
      <c r="C137" s="14" t="n"/>
      <c r="D137" s="15">
        <f>IF(OR(B137="",C137=""),"",C137-B137)</f>
        <v/>
      </c>
      <c r="E137" s="14" t="n"/>
      <c r="F137" s="14" t="n"/>
      <c r="G137" s="14" t="n"/>
      <c r="H137" s="14" t="n"/>
      <c r="I137" s="16">
        <f>IF(A137="","",IF(C137&lt;B137,"km Ende &lt; km Beginn",IF(AND(ROW()&gt;5,B137&lt;&gt;"",INDEX($C$5:$C$404,ROW()-5)&lt;&gt;"",B137&lt;&gt;INDEX($C$5:$C$404,ROW()-5)),"LÜCKE im km-Stand",IF(AND(E137="betrieblich",OR(F137="",G137="",H137="")),"Pflichtangabe fehlt","ok"))))</f>
        <v/>
      </c>
    </row>
    <row r="138">
      <c r="A138" s="13" t="n"/>
      <c r="B138" s="14" t="n"/>
      <c r="C138" s="14" t="n"/>
      <c r="D138" s="15">
        <f>IF(OR(B138="",C138=""),"",C138-B138)</f>
        <v/>
      </c>
      <c r="E138" s="14" t="n"/>
      <c r="F138" s="14" t="n"/>
      <c r="G138" s="14" t="n"/>
      <c r="H138" s="14" t="n"/>
      <c r="I138" s="16">
        <f>IF(A138="","",IF(C138&lt;B138,"km Ende &lt; km Beginn",IF(AND(ROW()&gt;5,B138&lt;&gt;"",INDEX($C$5:$C$404,ROW()-5)&lt;&gt;"",B138&lt;&gt;INDEX($C$5:$C$404,ROW()-5)),"LÜCKE im km-Stand",IF(AND(E138="betrieblich",OR(F138="",G138="",H138="")),"Pflichtangabe fehlt","ok"))))</f>
        <v/>
      </c>
    </row>
    <row r="139">
      <c r="A139" s="13" t="n"/>
      <c r="B139" s="14" t="n"/>
      <c r="C139" s="14" t="n"/>
      <c r="D139" s="15">
        <f>IF(OR(B139="",C139=""),"",C139-B139)</f>
        <v/>
      </c>
      <c r="E139" s="14" t="n"/>
      <c r="F139" s="14" t="n"/>
      <c r="G139" s="14" t="n"/>
      <c r="H139" s="14" t="n"/>
      <c r="I139" s="16">
        <f>IF(A139="","",IF(C139&lt;B139,"km Ende &lt; km Beginn",IF(AND(ROW()&gt;5,B139&lt;&gt;"",INDEX($C$5:$C$404,ROW()-5)&lt;&gt;"",B139&lt;&gt;INDEX($C$5:$C$404,ROW()-5)),"LÜCKE im km-Stand",IF(AND(E139="betrieblich",OR(F139="",G139="",H139="")),"Pflichtangabe fehlt","ok"))))</f>
        <v/>
      </c>
    </row>
    <row r="140">
      <c r="A140" s="13" t="n"/>
      <c r="B140" s="14" t="n"/>
      <c r="C140" s="14" t="n"/>
      <c r="D140" s="15">
        <f>IF(OR(B140="",C140=""),"",C140-B140)</f>
        <v/>
      </c>
      <c r="E140" s="14" t="n"/>
      <c r="F140" s="14" t="n"/>
      <c r="G140" s="14" t="n"/>
      <c r="H140" s="14" t="n"/>
      <c r="I140" s="16">
        <f>IF(A140="","",IF(C140&lt;B140,"km Ende &lt; km Beginn",IF(AND(ROW()&gt;5,B140&lt;&gt;"",INDEX($C$5:$C$404,ROW()-5)&lt;&gt;"",B140&lt;&gt;INDEX($C$5:$C$404,ROW()-5)),"LÜCKE im km-Stand",IF(AND(E140="betrieblich",OR(F140="",G140="",H140="")),"Pflichtangabe fehlt","ok"))))</f>
        <v/>
      </c>
    </row>
    <row r="141">
      <c r="A141" s="13" t="n"/>
      <c r="B141" s="14" t="n"/>
      <c r="C141" s="14" t="n"/>
      <c r="D141" s="15">
        <f>IF(OR(B141="",C141=""),"",C141-B141)</f>
        <v/>
      </c>
      <c r="E141" s="14" t="n"/>
      <c r="F141" s="14" t="n"/>
      <c r="G141" s="14" t="n"/>
      <c r="H141" s="14" t="n"/>
      <c r="I141" s="16">
        <f>IF(A141="","",IF(C141&lt;B141,"km Ende &lt; km Beginn",IF(AND(ROW()&gt;5,B141&lt;&gt;"",INDEX($C$5:$C$404,ROW()-5)&lt;&gt;"",B141&lt;&gt;INDEX($C$5:$C$404,ROW()-5)),"LÜCKE im km-Stand",IF(AND(E141="betrieblich",OR(F141="",G141="",H141="")),"Pflichtangabe fehlt","ok"))))</f>
        <v/>
      </c>
    </row>
    <row r="142">
      <c r="A142" s="13" t="n"/>
      <c r="B142" s="14" t="n"/>
      <c r="C142" s="14" t="n"/>
      <c r="D142" s="15">
        <f>IF(OR(B142="",C142=""),"",C142-B142)</f>
        <v/>
      </c>
      <c r="E142" s="14" t="n"/>
      <c r="F142" s="14" t="n"/>
      <c r="G142" s="14" t="n"/>
      <c r="H142" s="14" t="n"/>
      <c r="I142" s="16">
        <f>IF(A142="","",IF(C142&lt;B142,"km Ende &lt; km Beginn",IF(AND(ROW()&gt;5,B142&lt;&gt;"",INDEX($C$5:$C$404,ROW()-5)&lt;&gt;"",B142&lt;&gt;INDEX($C$5:$C$404,ROW()-5)),"LÜCKE im km-Stand",IF(AND(E142="betrieblich",OR(F142="",G142="",H142="")),"Pflichtangabe fehlt","ok"))))</f>
        <v/>
      </c>
    </row>
    <row r="143">
      <c r="A143" s="13" t="n"/>
      <c r="B143" s="14" t="n"/>
      <c r="C143" s="14" t="n"/>
      <c r="D143" s="15">
        <f>IF(OR(B143="",C143=""),"",C143-B143)</f>
        <v/>
      </c>
      <c r="E143" s="14" t="n"/>
      <c r="F143" s="14" t="n"/>
      <c r="G143" s="14" t="n"/>
      <c r="H143" s="14" t="n"/>
      <c r="I143" s="16">
        <f>IF(A143="","",IF(C143&lt;B143,"km Ende &lt; km Beginn",IF(AND(ROW()&gt;5,B143&lt;&gt;"",INDEX($C$5:$C$404,ROW()-5)&lt;&gt;"",B143&lt;&gt;INDEX($C$5:$C$404,ROW()-5)),"LÜCKE im km-Stand",IF(AND(E143="betrieblich",OR(F143="",G143="",H143="")),"Pflichtangabe fehlt","ok"))))</f>
        <v/>
      </c>
    </row>
    <row r="144">
      <c r="A144" s="13" t="n"/>
      <c r="B144" s="14" t="n"/>
      <c r="C144" s="14" t="n"/>
      <c r="D144" s="15">
        <f>IF(OR(B144="",C144=""),"",C144-B144)</f>
        <v/>
      </c>
      <c r="E144" s="14" t="n"/>
      <c r="F144" s="14" t="n"/>
      <c r="G144" s="14" t="n"/>
      <c r="H144" s="14" t="n"/>
      <c r="I144" s="16">
        <f>IF(A144="","",IF(C144&lt;B144,"km Ende &lt; km Beginn",IF(AND(ROW()&gt;5,B144&lt;&gt;"",INDEX($C$5:$C$404,ROW()-5)&lt;&gt;"",B144&lt;&gt;INDEX($C$5:$C$404,ROW()-5)),"LÜCKE im km-Stand",IF(AND(E144="betrieblich",OR(F144="",G144="",H144="")),"Pflichtangabe fehlt","ok"))))</f>
        <v/>
      </c>
    </row>
    <row r="145">
      <c r="A145" s="13" t="n"/>
      <c r="B145" s="14" t="n"/>
      <c r="C145" s="14" t="n"/>
      <c r="D145" s="15">
        <f>IF(OR(B145="",C145=""),"",C145-B145)</f>
        <v/>
      </c>
      <c r="E145" s="14" t="n"/>
      <c r="F145" s="14" t="n"/>
      <c r="G145" s="14" t="n"/>
      <c r="H145" s="14" t="n"/>
      <c r="I145" s="16">
        <f>IF(A145="","",IF(C145&lt;B145,"km Ende &lt; km Beginn",IF(AND(ROW()&gt;5,B145&lt;&gt;"",INDEX($C$5:$C$404,ROW()-5)&lt;&gt;"",B145&lt;&gt;INDEX($C$5:$C$404,ROW()-5)),"LÜCKE im km-Stand",IF(AND(E145="betrieblich",OR(F145="",G145="",H145="")),"Pflichtangabe fehlt","ok"))))</f>
        <v/>
      </c>
    </row>
    <row r="146">
      <c r="A146" s="13" t="n"/>
      <c r="B146" s="14" t="n"/>
      <c r="C146" s="14" t="n"/>
      <c r="D146" s="15">
        <f>IF(OR(B146="",C146=""),"",C146-B146)</f>
        <v/>
      </c>
      <c r="E146" s="14" t="n"/>
      <c r="F146" s="14" t="n"/>
      <c r="G146" s="14" t="n"/>
      <c r="H146" s="14" t="n"/>
      <c r="I146" s="16">
        <f>IF(A146="","",IF(C146&lt;B146,"km Ende &lt; km Beginn",IF(AND(ROW()&gt;5,B146&lt;&gt;"",INDEX($C$5:$C$404,ROW()-5)&lt;&gt;"",B146&lt;&gt;INDEX($C$5:$C$404,ROW()-5)),"LÜCKE im km-Stand",IF(AND(E146="betrieblich",OR(F146="",G146="",H146="")),"Pflichtangabe fehlt","ok"))))</f>
        <v/>
      </c>
    </row>
    <row r="147">
      <c r="A147" s="13" t="n"/>
      <c r="B147" s="14" t="n"/>
      <c r="C147" s="14" t="n"/>
      <c r="D147" s="15">
        <f>IF(OR(B147="",C147=""),"",C147-B147)</f>
        <v/>
      </c>
      <c r="E147" s="14" t="n"/>
      <c r="F147" s="14" t="n"/>
      <c r="G147" s="14" t="n"/>
      <c r="H147" s="14" t="n"/>
      <c r="I147" s="16">
        <f>IF(A147="","",IF(C147&lt;B147,"km Ende &lt; km Beginn",IF(AND(ROW()&gt;5,B147&lt;&gt;"",INDEX($C$5:$C$404,ROW()-5)&lt;&gt;"",B147&lt;&gt;INDEX($C$5:$C$404,ROW()-5)),"LÜCKE im km-Stand",IF(AND(E147="betrieblich",OR(F147="",G147="",H147="")),"Pflichtangabe fehlt","ok"))))</f>
        <v/>
      </c>
    </row>
    <row r="148">
      <c r="A148" s="13" t="n"/>
      <c r="B148" s="14" t="n"/>
      <c r="C148" s="14" t="n"/>
      <c r="D148" s="15">
        <f>IF(OR(B148="",C148=""),"",C148-B148)</f>
        <v/>
      </c>
      <c r="E148" s="14" t="n"/>
      <c r="F148" s="14" t="n"/>
      <c r="G148" s="14" t="n"/>
      <c r="H148" s="14" t="n"/>
      <c r="I148" s="16">
        <f>IF(A148="","",IF(C148&lt;B148,"km Ende &lt; km Beginn",IF(AND(ROW()&gt;5,B148&lt;&gt;"",INDEX($C$5:$C$404,ROW()-5)&lt;&gt;"",B148&lt;&gt;INDEX($C$5:$C$404,ROW()-5)),"LÜCKE im km-Stand",IF(AND(E148="betrieblich",OR(F148="",G148="",H148="")),"Pflichtangabe fehlt","ok"))))</f>
        <v/>
      </c>
    </row>
    <row r="149">
      <c r="A149" s="13" t="n"/>
      <c r="B149" s="14" t="n"/>
      <c r="C149" s="14" t="n"/>
      <c r="D149" s="15">
        <f>IF(OR(B149="",C149=""),"",C149-B149)</f>
        <v/>
      </c>
      <c r="E149" s="14" t="n"/>
      <c r="F149" s="14" t="n"/>
      <c r="G149" s="14" t="n"/>
      <c r="H149" s="14" t="n"/>
      <c r="I149" s="16">
        <f>IF(A149="","",IF(C149&lt;B149,"km Ende &lt; km Beginn",IF(AND(ROW()&gt;5,B149&lt;&gt;"",INDEX($C$5:$C$404,ROW()-5)&lt;&gt;"",B149&lt;&gt;INDEX($C$5:$C$404,ROW()-5)),"LÜCKE im km-Stand",IF(AND(E149="betrieblich",OR(F149="",G149="",H149="")),"Pflichtangabe fehlt","ok"))))</f>
        <v/>
      </c>
    </row>
    <row r="150">
      <c r="A150" s="13" t="n"/>
      <c r="B150" s="14" t="n"/>
      <c r="C150" s="14" t="n"/>
      <c r="D150" s="15">
        <f>IF(OR(B150="",C150=""),"",C150-B150)</f>
        <v/>
      </c>
      <c r="E150" s="14" t="n"/>
      <c r="F150" s="14" t="n"/>
      <c r="G150" s="14" t="n"/>
      <c r="H150" s="14" t="n"/>
      <c r="I150" s="16">
        <f>IF(A150="","",IF(C150&lt;B150,"km Ende &lt; km Beginn",IF(AND(ROW()&gt;5,B150&lt;&gt;"",INDEX($C$5:$C$404,ROW()-5)&lt;&gt;"",B150&lt;&gt;INDEX($C$5:$C$404,ROW()-5)),"LÜCKE im km-Stand",IF(AND(E150="betrieblich",OR(F150="",G150="",H150="")),"Pflichtangabe fehlt","ok"))))</f>
        <v/>
      </c>
    </row>
    <row r="151">
      <c r="A151" s="13" t="n"/>
      <c r="B151" s="14" t="n"/>
      <c r="C151" s="14" t="n"/>
      <c r="D151" s="15">
        <f>IF(OR(B151="",C151=""),"",C151-B151)</f>
        <v/>
      </c>
      <c r="E151" s="14" t="n"/>
      <c r="F151" s="14" t="n"/>
      <c r="G151" s="14" t="n"/>
      <c r="H151" s="14" t="n"/>
      <c r="I151" s="16">
        <f>IF(A151="","",IF(C151&lt;B151,"km Ende &lt; km Beginn",IF(AND(ROW()&gt;5,B151&lt;&gt;"",INDEX($C$5:$C$404,ROW()-5)&lt;&gt;"",B151&lt;&gt;INDEX($C$5:$C$404,ROW()-5)),"LÜCKE im km-Stand",IF(AND(E151="betrieblich",OR(F151="",G151="",H151="")),"Pflichtangabe fehlt","ok"))))</f>
        <v/>
      </c>
    </row>
    <row r="152">
      <c r="A152" s="13" t="n"/>
      <c r="B152" s="14" t="n"/>
      <c r="C152" s="14" t="n"/>
      <c r="D152" s="15">
        <f>IF(OR(B152="",C152=""),"",C152-B152)</f>
        <v/>
      </c>
      <c r="E152" s="14" t="n"/>
      <c r="F152" s="14" t="n"/>
      <c r="G152" s="14" t="n"/>
      <c r="H152" s="14" t="n"/>
      <c r="I152" s="16">
        <f>IF(A152="","",IF(C152&lt;B152,"km Ende &lt; km Beginn",IF(AND(ROW()&gt;5,B152&lt;&gt;"",INDEX($C$5:$C$404,ROW()-5)&lt;&gt;"",B152&lt;&gt;INDEX($C$5:$C$404,ROW()-5)),"LÜCKE im km-Stand",IF(AND(E152="betrieblich",OR(F152="",G152="",H152="")),"Pflichtangabe fehlt","ok"))))</f>
        <v/>
      </c>
    </row>
    <row r="153">
      <c r="A153" s="13" t="n"/>
      <c r="B153" s="14" t="n"/>
      <c r="C153" s="14" t="n"/>
      <c r="D153" s="15">
        <f>IF(OR(B153="",C153=""),"",C153-B153)</f>
        <v/>
      </c>
      <c r="E153" s="14" t="n"/>
      <c r="F153" s="14" t="n"/>
      <c r="G153" s="14" t="n"/>
      <c r="H153" s="14" t="n"/>
      <c r="I153" s="16">
        <f>IF(A153="","",IF(C153&lt;B153,"km Ende &lt; km Beginn",IF(AND(ROW()&gt;5,B153&lt;&gt;"",INDEX($C$5:$C$404,ROW()-5)&lt;&gt;"",B153&lt;&gt;INDEX($C$5:$C$404,ROW()-5)),"LÜCKE im km-Stand",IF(AND(E153="betrieblich",OR(F153="",G153="",H153="")),"Pflichtangabe fehlt","ok"))))</f>
        <v/>
      </c>
    </row>
    <row r="154">
      <c r="A154" s="13" t="n"/>
      <c r="B154" s="14" t="n"/>
      <c r="C154" s="14" t="n"/>
      <c r="D154" s="15">
        <f>IF(OR(B154="",C154=""),"",C154-B154)</f>
        <v/>
      </c>
      <c r="E154" s="14" t="n"/>
      <c r="F154" s="14" t="n"/>
      <c r="G154" s="14" t="n"/>
      <c r="H154" s="14" t="n"/>
      <c r="I154" s="16">
        <f>IF(A154="","",IF(C154&lt;B154,"km Ende &lt; km Beginn",IF(AND(ROW()&gt;5,B154&lt;&gt;"",INDEX($C$5:$C$404,ROW()-5)&lt;&gt;"",B154&lt;&gt;INDEX($C$5:$C$404,ROW()-5)),"LÜCKE im km-Stand",IF(AND(E154="betrieblich",OR(F154="",G154="",H154="")),"Pflichtangabe fehlt","ok"))))</f>
        <v/>
      </c>
    </row>
    <row r="155">
      <c r="A155" s="13" t="n"/>
      <c r="B155" s="14" t="n"/>
      <c r="C155" s="14" t="n"/>
      <c r="D155" s="15">
        <f>IF(OR(B155="",C155=""),"",C155-B155)</f>
        <v/>
      </c>
      <c r="E155" s="14" t="n"/>
      <c r="F155" s="14" t="n"/>
      <c r="G155" s="14" t="n"/>
      <c r="H155" s="14" t="n"/>
      <c r="I155" s="16">
        <f>IF(A155="","",IF(C155&lt;B155,"km Ende &lt; km Beginn",IF(AND(ROW()&gt;5,B155&lt;&gt;"",INDEX($C$5:$C$404,ROW()-5)&lt;&gt;"",B155&lt;&gt;INDEX($C$5:$C$404,ROW()-5)),"LÜCKE im km-Stand",IF(AND(E155="betrieblich",OR(F155="",G155="",H155="")),"Pflichtangabe fehlt","ok"))))</f>
        <v/>
      </c>
    </row>
    <row r="156">
      <c r="A156" s="13" t="n"/>
      <c r="B156" s="14" t="n"/>
      <c r="C156" s="14" t="n"/>
      <c r="D156" s="15">
        <f>IF(OR(B156="",C156=""),"",C156-B156)</f>
        <v/>
      </c>
      <c r="E156" s="14" t="n"/>
      <c r="F156" s="14" t="n"/>
      <c r="G156" s="14" t="n"/>
      <c r="H156" s="14" t="n"/>
      <c r="I156" s="16">
        <f>IF(A156="","",IF(C156&lt;B156,"km Ende &lt; km Beginn",IF(AND(ROW()&gt;5,B156&lt;&gt;"",INDEX($C$5:$C$404,ROW()-5)&lt;&gt;"",B156&lt;&gt;INDEX($C$5:$C$404,ROW()-5)),"LÜCKE im km-Stand",IF(AND(E156="betrieblich",OR(F156="",G156="",H156="")),"Pflichtangabe fehlt","ok"))))</f>
        <v/>
      </c>
    </row>
    <row r="157">
      <c r="A157" s="13" t="n"/>
      <c r="B157" s="14" t="n"/>
      <c r="C157" s="14" t="n"/>
      <c r="D157" s="15">
        <f>IF(OR(B157="",C157=""),"",C157-B157)</f>
        <v/>
      </c>
      <c r="E157" s="14" t="n"/>
      <c r="F157" s="14" t="n"/>
      <c r="G157" s="14" t="n"/>
      <c r="H157" s="14" t="n"/>
      <c r="I157" s="16">
        <f>IF(A157="","",IF(C157&lt;B157,"km Ende &lt; km Beginn",IF(AND(ROW()&gt;5,B157&lt;&gt;"",INDEX($C$5:$C$404,ROW()-5)&lt;&gt;"",B157&lt;&gt;INDEX($C$5:$C$404,ROW()-5)),"LÜCKE im km-Stand",IF(AND(E157="betrieblich",OR(F157="",G157="",H157="")),"Pflichtangabe fehlt","ok"))))</f>
        <v/>
      </c>
    </row>
    <row r="158">
      <c r="A158" s="13" t="n"/>
      <c r="B158" s="14" t="n"/>
      <c r="C158" s="14" t="n"/>
      <c r="D158" s="15">
        <f>IF(OR(B158="",C158=""),"",C158-B158)</f>
        <v/>
      </c>
      <c r="E158" s="14" t="n"/>
      <c r="F158" s="14" t="n"/>
      <c r="G158" s="14" t="n"/>
      <c r="H158" s="14" t="n"/>
      <c r="I158" s="16">
        <f>IF(A158="","",IF(C158&lt;B158,"km Ende &lt; km Beginn",IF(AND(ROW()&gt;5,B158&lt;&gt;"",INDEX($C$5:$C$404,ROW()-5)&lt;&gt;"",B158&lt;&gt;INDEX($C$5:$C$404,ROW()-5)),"LÜCKE im km-Stand",IF(AND(E158="betrieblich",OR(F158="",G158="",H158="")),"Pflichtangabe fehlt","ok"))))</f>
        <v/>
      </c>
    </row>
    <row r="159">
      <c r="A159" s="13" t="n"/>
      <c r="B159" s="14" t="n"/>
      <c r="C159" s="14" t="n"/>
      <c r="D159" s="15">
        <f>IF(OR(B159="",C159=""),"",C159-B159)</f>
        <v/>
      </c>
      <c r="E159" s="14" t="n"/>
      <c r="F159" s="14" t="n"/>
      <c r="G159" s="14" t="n"/>
      <c r="H159" s="14" t="n"/>
      <c r="I159" s="16">
        <f>IF(A159="","",IF(C159&lt;B159,"km Ende &lt; km Beginn",IF(AND(ROW()&gt;5,B159&lt;&gt;"",INDEX($C$5:$C$404,ROW()-5)&lt;&gt;"",B159&lt;&gt;INDEX($C$5:$C$404,ROW()-5)),"LÜCKE im km-Stand",IF(AND(E159="betrieblich",OR(F159="",G159="",H159="")),"Pflichtangabe fehlt","ok"))))</f>
        <v/>
      </c>
    </row>
    <row r="160">
      <c r="A160" s="13" t="n"/>
      <c r="B160" s="14" t="n"/>
      <c r="C160" s="14" t="n"/>
      <c r="D160" s="15">
        <f>IF(OR(B160="",C160=""),"",C160-B160)</f>
        <v/>
      </c>
      <c r="E160" s="14" t="n"/>
      <c r="F160" s="14" t="n"/>
      <c r="G160" s="14" t="n"/>
      <c r="H160" s="14" t="n"/>
      <c r="I160" s="16">
        <f>IF(A160="","",IF(C160&lt;B160,"km Ende &lt; km Beginn",IF(AND(ROW()&gt;5,B160&lt;&gt;"",INDEX($C$5:$C$404,ROW()-5)&lt;&gt;"",B160&lt;&gt;INDEX($C$5:$C$404,ROW()-5)),"LÜCKE im km-Stand",IF(AND(E160="betrieblich",OR(F160="",G160="",H160="")),"Pflichtangabe fehlt","ok"))))</f>
        <v/>
      </c>
    </row>
    <row r="161">
      <c r="A161" s="13" t="n"/>
      <c r="B161" s="14" t="n"/>
      <c r="C161" s="14" t="n"/>
      <c r="D161" s="15">
        <f>IF(OR(B161="",C161=""),"",C161-B161)</f>
        <v/>
      </c>
      <c r="E161" s="14" t="n"/>
      <c r="F161" s="14" t="n"/>
      <c r="G161" s="14" t="n"/>
      <c r="H161" s="14" t="n"/>
      <c r="I161" s="16">
        <f>IF(A161="","",IF(C161&lt;B161,"km Ende &lt; km Beginn",IF(AND(ROW()&gt;5,B161&lt;&gt;"",INDEX($C$5:$C$404,ROW()-5)&lt;&gt;"",B161&lt;&gt;INDEX($C$5:$C$404,ROW()-5)),"LÜCKE im km-Stand",IF(AND(E161="betrieblich",OR(F161="",G161="",H161="")),"Pflichtangabe fehlt","ok"))))</f>
        <v/>
      </c>
    </row>
    <row r="162">
      <c r="A162" s="13" t="n"/>
      <c r="B162" s="14" t="n"/>
      <c r="C162" s="14" t="n"/>
      <c r="D162" s="15">
        <f>IF(OR(B162="",C162=""),"",C162-B162)</f>
        <v/>
      </c>
      <c r="E162" s="14" t="n"/>
      <c r="F162" s="14" t="n"/>
      <c r="G162" s="14" t="n"/>
      <c r="H162" s="14" t="n"/>
      <c r="I162" s="16">
        <f>IF(A162="","",IF(C162&lt;B162,"km Ende &lt; km Beginn",IF(AND(ROW()&gt;5,B162&lt;&gt;"",INDEX($C$5:$C$404,ROW()-5)&lt;&gt;"",B162&lt;&gt;INDEX($C$5:$C$404,ROW()-5)),"LÜCKE im km-Stand",IF(AND(E162="betrieblich",OR(F162="",G162="",H162="")),"Pflichtangabe fehlt","ok"))))</f>
        <v/>
      </c>
    </row>
    <row r="163">
      <c r="A163" s="13" t="n"/>
      <c r="B163" s="14" t="n"/>
      <c r="C163" s="14" t="n"/>
      <c r="D163" s="15">
        <f>IF(OR(B163="",C163=""),"",C163-B163)</f>
        <v/>
      </c>
      <c r="E163" s="14" t="n"/>
      <c r="F163" s="14" t="n"/>
      <c r="G163" s="14" t="n"/>
      <c r="H163" s="14" t="n"/>
      <c r="I163" s="16">
        <f>IF(A163="","",IF(C163&lt;B163,"km Ende &lt; km Beginn",IF(AND(ROW()&gt;5,B163&lt;&gt;"",INDEX($C$5:$C$404,ROW()-5)&lt;&gt;"",B163&lt;&gt;INDEX($C$5:$C$404,ROW()-5)),"LÜCKE im km-Stand",IF(AND(E163="betrieblich",OR(F163="",G163="",H163="")),"Pflichtangabe fehlt","ok"))))</f>
        <v/>
      </c>
    </row>
    <row r="164">
      <c r="A164" s="13" t="n"/>
      <c r="B164" s="14" t="n"/>
      <c r="C164" s="14" t="n"/>
      <c r="D164" s="15">
        <f>IF(OR(B164="",C164=""),"",C164-B164)</f>
        <v/>
      </c>
      <c r="E164" s="14" t="n"/>
      <c r="F164" s="14" t="n"/>
      <c r="G164" s="14" t="n"/>
      <c r="H164" s="14" t="n"/>
      <c r="I164" s="16">
        <f>IF(A164="","",IF(C164&lt;B164,"km Ende &lt; km Beginn",IF(AND(ROW()&gt;5,B164&lt;&gt;"",INDEX($C$5:$C$404,ROW()-5)&lt;&gt;"",B164&lt;&gt;INDEX($C$5:$C$404,ROW()-5)),"LÜCKE im km-Stand",IF(AND(E164="betrieblich",OR(F164="",G164="",H164="")),"Pflichtangabe fehlt","ok"))))</f>
        <v/>
      </c>
    </row>
    <row r="165">
      <c r="A165" s="13" t="n"/>
      <c r="B165" s="14" t="n"/>
      <c r="C165" s="14" t="n"/>
      <c r="D165" s="15">
        <f>IF(OR(B165="",C165=""),"",C165-B165)</f>
        <v/>
      </c>
      <c r="E165" s="14" t="n"/>
      <c r="F165" s="14" t="n"/>
      <c r="G165" s="14" t="n"/>
      <c r="H165" s="14" t="n"/>
      <c r="I165" s="16">
        <f>IF(A165="","",IF(C165&lt;B165,"km Ende &lt; km Beginn",IF(AND(ROW()&gt;5,B165&lt;&gt;"",INDEX($C$5:$C$404,ROW()-5)&lt;&gt;"",B165&lt;&gt;INDEX($C$5:$C$404,ROW()-5)),"LÜCKE im km-Stand",IF(AND(E165="betrieblich",OR(F165="",G165="",H165="")),"Pflichtangabe fehlt","ok"))))</f>
        <v/>
      </c>
    </row>
    <row r="166">
      <c r="A166" s="13" t="n"/>
      <c r="B166" s="14" t="n"/>
      <c r="C166" s="14" t="n"/>
      <c r="D166" s="15">
        <f>IF(OR(B166="",C166=""),"",C166-B166)</f>
        <v/>
      </c>
      <c r="E166" s="14" t="n"/>
      <c r="F166" s="14" t="n"/>
      <c r="G166" s="14" t="n"/>
      <c r="H166" s="14" t="n"/>
      <c r="I166" s="16">
        <f>IF(A166="","",IF(C166&lt;B166,"km Ende &lt; km Beginn",IF(AND(ROW()&gt;5,B166&lt;&gt;"",INDEX($C$5:$C$404,ROW()-5)&lt;&gt;"",B166&lt;&gt;INDEX($C$5:$C$404,ROW()-5)),"LÜCKE im km-Stand",IF(AND(E166="betrieblich",OR(F166="",G166="",H166="")),"Pflichtangabe fehlt","ok"))))</f>
        <v/>
      </c>
    </row>
    <row r="167">
      <c r="A167" s="13" t="n"/>
      <c r="B167" s="14" t="n"/>
      <c r="C167" s="14" t="n"/>
      <c r="D167" s="15">
        <f>IF(OR(B167="",C167=""),"",C167-B167)</f>
        <v/>
      </c>
      <c r="E167" s="14" t="n"/>
      <c r="F167" s="14" t="n"/>
      <c r="G167" s="14" t="n"/>
      <c r="H167" s="14" t="n"/>
      <c r="I167" s="16">
        <f>IF(A167="","",IF(C167&lt;B167,"km Ende &lt; km Beginn",IF(AND(ROW()&gt;5,B167&lt;&gt;"",INDEX($C$5:$C$404,ROW()-5)&lt;&gt;"",B167&lt;&gt;INDEX($C$5:$C$404,ROW()-5)),"LÜCKE im km-Stand",IF(AND(E167="betrieblich",OR(F167="",G167="",H167="")),"Pflichtangabe fehlt","ok"))))</f>
        <v/>
      </c>
    </row>
    <row r="168">
      <c r="A168" s="13" t="n"/>
      <c r="B168" s="14" t="n"/>
      <c r="C168" s="14" t="n"/>
      <c r="D168" s="15">
        <f>IF(OR(B168="",C168=""),"",C168-B168)</f>
        <v/>
      </c>
      <c r="E168" s="14" t="n"/>
      <c r="F168" s="14" t="n"/>
      <c r="G168" s="14" t="n"/>
      <c r="H168" s="14" t="n"/>
      <c r="I168" s="16">
        <f>IF(A168="","",IF(C168&lt;B168,"km Ende &lt; km Beginn",IF(AND(ROW()&gt;5,B168&lt;&gt;"",INDEX($C$5:$C$404,ROW()-5)&lt;&gt;"",B168&lt;&gt;INDEX($C$5:$C$404,ROW()-5)),"LÜCKE im km-Stand",IF(AND(E168="betrieblich",OR(F168="",G168="",H168="")),"Pflichtangabe fehlt","ok"))))</f>
        <v/>
      </c>
    </row>
    <row r="169">
      <c r="A169" s="13" t="n"/>
      <c r="B169" s="14" t="n"/>
      <c r="C169" s="14" t="n"/>
      <c r="D169" s="15">
        <f>IF(OR(B169="",C169=""),"",C169-B169)</f>
        <v/>
      </c>
      <c r="E169" s="14" t="n"/>
      <c r="F169" s="14" t="n"/>
      <c r="G169" s="14" t="n"/>
      <c r="H169" s="14" t="n"/>
      <c r="I169" s="16">
        <f>IF(A169="","",IF(C169&lt;B169,"km Ende &lt; km Beginn",IF(AND(ROW()&gt;5,B169&lt;&gt;"",INDEX($C$5:$C$404,ROW()-5)&lt;&gt;"",B169&lt;&gt;INDEX($C$5:$C$404,ROW()-5)),"LÜCKE im km-Stand",IF(AND(E169="betrieblich",OR(F169="",G169="",H169="")),"Pflichtangabe fehlt","ok"))))</f>
        <v/>
      </c>
    </row>
    <row r="170">
      <c r="A170" s="13" t="n"/>
      <c r="B170" s="14" t="n"/>
      <c r="C170" s="14" t="n"/>
      <c r="D170" s="15">
        <f>IF(OR(B170="",C170=""),"",C170-B170)</f>
        <v/>
      </c>
      <c r="E170" s="14" t="n"/>
      <c r="F170" s="14" t="n"/>
      <c r="G170" s="14" t="n"/>
      <c r="H170" s="14" t="n"/>
      <c r="I170" s="16">
        <f>IF(A170="","",IF(C170&lt;B170,"km Ende &lt; km Beginn",IF(AND(ROW()&gt;5,B170&lt;&gt;"",INDEX($C$5:$C$404,ROW()-5)&lt;&gt;"",B170&lt;&gt;INDEX($C$5:$C$404,ROW()-5)),"LÜCKE im km-Stand",IF(AND(E170="betrieblich",OR(F170="",G170="",H170="")),"Pflichtangabe fehlt","ok"))))</f>
        <v/>
      </c>
    </row>
    <row r="171">
      <c r="A171" s="13" t="n"/>
      <c r="B171" s="14" t="n"/>
      <c r="C171" s="14" t="n"/>
      <c r="D171" s="15">
        <f>IF(OR(B171="",C171=""),"",C171-B171)</f>
        <v/>
      </c>
      <c r="E171" s="14" t="n"/>
      <c r="F171" s="14" t="n"/>
      <c r="G171" s="14" t="n"/>
      <c r="H171" s="14" t="n"/>
      <c r="I171" s="16">
        <f>IF(A171="","",IF(C171&lt;B171,"km Ende &lt; km Beginn",IF(AND(ROW()&gt;5,B171&lt;&gt;"",INDEX($C$5:$C$404,ROW()-5)&lt;&gt;"",B171&lt;&gt;INDEX($C$5:$C$404,ROW()-5)),"LÜCKE im km-Stand",IF(AND(E171="betrieblich",OR(F171="",G171="",H171="")),"Pflichtangabe fehlt","ok"))))</f>
        <v/>
      </c>
    </row>
    <row r="172">
      <c r="A172" s="13" t="n"/>
      <c r="B172" s="14" t="n"/>
      <c r="C172" s="14" t="n"/>
      <c r="D172" s="15">
        <f>IF(OR(B172="",C172=""),"",C172-B172)</f>
        <v/>
      </c>
      <c r="E172" s="14" t="n"/>
      <c r="F172" s="14" t="n"/>
      <c r="G172" s="14" t="n"/>
      <c r="H172" s="14" t="n"/>
      <c r="I172" s="16">
        <f>IF(A172="","",IF(C172&lt;B172,"km Ende &lt; km Beginn",IF(AND(ROW()&gt;5,B172&lt;&gt;"",INDEX($C$5:$C$404,ROW()-5)&lt;&gt;"",B172&lt;&gt;INDEX($C$5:$C$404,ROW()-5)),"LÜCKE im km-Stand",IF(AND(E172="betrieblich",OR(F172="",G172="",H172="")),"Pflichtangabe fehlt","ok"))))</f>
        <v/>
      </c>
    </row>
    <row r="173">
      <c r="A173" s="13" t="n"/>
      <c r="B173" s="14" t="n"/>
      <c r="C173" s="14" t="n"/>
      <c r="D173" s="15">
        <f>IF(OR(B173="",C173=""),"",C173-B173)</f>
        <v/>
      </c>
      <c r="E173" s="14" t="n"/>
      <c r="F173" s="14" t="n"/>
      <c r="G173" s="14" t="n"/>
      <c r="H173" s="14" t="n"/>
      <c r="I173" s="16">
        <f>IF(A173="","",IF(C173&lt;B173,"km Ende &lt; km Beginn",IF(AND(ROW()&gt;5,B173&lt;&gt;"",INDEX($C$5:$C$404,ROW()-5)&lt;&gt;"",B173&lt;&gt;INDEX($C$5:$C$404,ROW()-5)),"LÜCKE im km-Stand",IF(AND(E173="betrieblich",OR(F173="",G173="",H173="")),"Pflichtangabe fehlt","ok"))))</f>
        <v/>
      </c>
    </row>
    <row r="174">
      <c r="A174" s="13" t="n"/>
      <c r="B174" s="14" t="n"/>
      <c r="C174" s="14" t="n"/>
      <c r="D174" s="15">
        <f>IF(OR(B174="",C174=""),"",C174-B174)</f>
        <v/>
      </c>
      <c r="E174" s="14" t="n"/>
      <c r="F174" s="14" t="n"/>
      <c r="G174" s="14" t="n"/>
      <c r="H174" s="14" t="n"/>
      <c r="I174" s="16">
        <f>IF(A174="","",IF(C174&lt;B174,"km Ende &lt; km Beginn",IF(AND(ROW()&gt;5,B174&lt;&gt;"",INDEX($C$5:$C$404,ROW()-5)&lt;&gt;"",B174&lt;&gt;INDEX($C$5:$C$404,ROW()-5)),"LÜCKE im km-Stand",IF(AND(E174="betrieblich",OR(F174="",G174="",H174="")),"Pflichtangabe fehlt","ok"))))</f>
        <v/>
      </c>
    </row>
    <row r="175">
      <c r="A175" s="13" t="n"/>
      <c r="B175" s="14" t="n"/>
      <c r="C175" s="14" t="n"/>
      <c r="D175" s="15">
        <f>IF(OR(B175="",C175=""),"",C175-B175)</f>
        <v/>
      </c>
      <c r="E175" s="14" t="n"/>
      <c r="F175" s="14" t="n"/>
      <c r="G175" s="14" t="n"/>
      <c r="H175" s="14" t="n"/>
      <c r="I175" s="16">
        <f>IF(A175="","",IF(C175&lt;B175,"km Ende &lt; km Beginn",IF(AND(ROW()&gt;5,B175&lt;&gt;"",INDEX($C$5:$C$404,ROW()-5)&lt;&gt;"",B175&lt;&gt;INDEX($C$5:$C$404,ROW()-5)),"LÜCKE im km-Stand",IF(AND(E175="betrieblich",OR(F175="",G175="",H175="")),"Pflichtangabe fehlt","ok"))))</f>
        <v/>
      </c>
    </row>
    <row r="176">
      <c r="A176" s="13" t="n"/>
      <c r="B176" s="14" t="n"/>
      <c r="C176" s="14" t="n"/>
      <c r="D176" s="15">
        <f>IF(OR(B176="",C176=""),"",C176-B176)</f>
        <v/>
      </c>
      <c r="E176" s="14" t="n"/>
      <c r="F176" s="14" t="n"/>
      <c r="G176" s="14" t="n"/>
      <c r="H176" s="14" t="n"/>
      <c r="I176" s="16">
        <f>IF(A176="","",IF(C176&lt;B176,"km Ende &lt; km Beginn",IF(AND(ROW()&gt;5,B176&lt;&gt;"",INDEX($C$5:$C$404,ROW()-5)&lt;&gt;"",B176&lt;&gt;INDEX($C$5:$C$404,ROW()-5)),"LÜCKE im km-Stand",IF(AND(E176="betrieblich",OR(F176="",G176="",H176="")),"Pflichtangabe fehlt","ok"))))</f>
        <v/>
      </c>
    </row>
    <row r="177">
      <c r="A177" s="13" t="n"/>
      <c r="B177" s="14" t="n"/>
      <c r="C177" s="14" t="n"/>
      <c r="D177" s="15">
        <f>IF(OR(B177="",C177=""),"",C177-B177)</f>
        <v/>
      </c>
      <c r="E177" s="14" t="n"/>
      <c r="F177" s="14" t="n"/>
      <c r="G177" s="14" t="n"/>
      <c r="H177" s="14" t="n"/>
      <c r="I177" s="16">
        <f>IF(A177="","",IF(C177&lt;B177,"km Ende &lt; km Beginn",IF(AND(ROW()&gt;5,B177&lt;&gt;"",INDEX($C$5:$C$404,ROW()-5)&lt;&gt;"",B177&lt;&gt;INDEX($C$5:$C$404,ROW()-5)),"LÜCKE im km-Stand",IF(AND(E177="betrieblich",OR(F177="",G177="",H177="")),"Pflichtangabe fehlt","ok"))))</f>
        <v/>
      </c>
    </row>
    <row r="178">
      <c r="A178" s="13" t="n"/>
      <c r="B178" s="14" t="n"/>
      <c r="C178" s="14" t="n"/>
      <c r="D178" s="15">
        <f>IF(OR(B178="",C178=""),"",C178-B178)</f>
        <v/>
      </c>
      <c r="E178" s="14" t="n"/>
      <c r="F178" s="14" t="n"/>
      <c r="G178" s="14" t="n"/>
      <c r="H178" s="14" t="n"/>
      <c r="I178" s="16">
        <f>IF(A178="","",IF(C178&lt;B178,"km Ende &lt; km Beginn",IF(AND(ROW()&gt;5,B178&lt;&gt;"",INDEX($C$5:$C$404,ROW()-5)&lt;&gt;"",B178&lt;&gt;INDEX($C$5:$C$404,ROW()-5)),"LÜCKE im km-Stand",IF(AND(E178="betrieblich",OR(F178="",G178="",H178="")),"Pflichtangabe fehlt","ok"))))</f>
        <v/>
      </c>
    </row>
    <row r="179">
      <c r="A179" s="13" t="n"/>
      <c r="B179" s="14" t="n"/>
      <c r="C179" s="14" t="n"/>
      <c r="D179" s="15">
        <f>IF(OR(B179="",C179=""),"",C179-B179)</f>
        <v/>
      </c>
      <c r="E179" s="14" t="n"/>
      <c r="F179" s="14" t="n"/>
      <c r="G179" s="14" t="n"/>
      <c r="H179" s="14" t="n"/>
      <c r="I179" s="16">
        <f>IF(A179="","",IF(C179&lt;B179,"km Ende &lt; km Beginn",IF(AND(ROW()&gt;5,B179&lt;&gt;"",INDEX($C$5:$C$404,ROW()-5)&lt;&gt;"",B179&lt;&gt;INDEX($C$5:$C$404,ROW()-5)),"LÜCKE im km-Stand",IF(AND(E179="betrieblich",OR(F179="",G179="",H179="")),"Pflichtangabe fehlt","ok"))))</f>
        <v/>
      </c>
    </row>
    <row r="180">
      <c r="A180" s="13" t="n"/>
      <c r="B180" s="14" t="n"/>
      <c r="C180" s="14" t="n"/>
      <c r="D180" s="15">
        <f>IF(OR(B180="",C180=""),"",C180-B180)</f>
        <v/>
      </c>
      <c r="E180" s="14" t="n"/>
      <c r="F180" s="14" t="n"/>
      <c r="G180" s="14" t="n"/>
      <c r="H180" s="14" t="n"/>
      <c r="I180" s="16">
        <f>IF(A180="","",IF(C180&lt;B180,"km Ende &lt; km Beginn",IF(AND(ROW()&gt;5,B180&lt;&gt;"",INDEX($C$5:$C$404,ROW()-5)&lt;&gt;"",B180&lt;&gt;INDEX($C$5:$C$404,ROW()-5)),"LÜCKE im km-Stand",IF(AND(E180="betrieblich",OR(F180="",G180="",H180="")),"Pflichtangabe fehlt","ok"))))</f>
        <v/>
      </c>
    </row>
    <row r="181">
      <c r="A181" s="13" t="n"/>
      <c r="B181" s="14" t="n"/>
      <c r="C181" s="14" t="n"/>
      <c r="D181" s="15">
        <f>IF(OR(B181="",C181=""),"",C181-B181)</f>
        <v/>
      </c>
      <c r="E181" s="14" t="n"/>
      <c r="F181" s="14" t="n"/>
      <c r="G181" s="14" t="n"/>
      <c r="H181" s="14" t="n"/>
      <c r="I181" s="16">
        <f>IF(A181="","",IF(C181&lt;B181,"km Ende &lt; km Beginn",IF(AND(ROW()&gt;5,B181&lt;&gt;"",INDEX($C$5:$C$404,ROW()-5)&lt;&gt;"",B181&lt;&gt;INDEX($C$5:$C$404,ROW()-5)),"LÜCKE im km-Stand",IF(AND(E181="betrieblich",OR(F181="",G181="",H181="")),"Pflichtangabe fehlt","ok"))))</f>
        <v/>
      </c>
    </row>
    <row r="182">
      <c r="A182" s="13" t="n"/>
      <c r="B182" s="14" t="n"/>
      <c r="C182" s="14" t="n"/>
      <c r="D182" s="15">
        <f>IF(OR(B182="",C182=""),"",C182-B182)</f>
        <v/>
      </c>
      <c r="E182" s="14" t="n"/>
      <c r="F182" s="14" t="n"/>
      <c r="G182" s="14" t="n"/>
      <c r="H182" s="14" t="n"/>
      <c r="I182" s="16">
        <f>IF(A182="","",IF(C182&lt;B182,"km Ende &lt; km Beginn",IF(AND(ROW()&gt;5,B182&lt;&gt;"",INDEX($C$5:$C$404,ROW()-5)&lt;&gt;"",B182&lt;&gt;INDEX($C$5:$C$404,ROW()-5)),"LÜCKE im km-Stand",IF(AND(E182="betrieblich",OR(F182="",G182="",H182="")),"Pflichtangabe fehlt","ok"))))</f>
        <v/>
      </c>
    </row>
    <row r="183">
      <c r="A183" s="13" t="n"/>
      <c r="B183" s="14" t="n"/>
      <c r="C183" s="14" t="n"/>
      <c r="D183" s="15">
        <f>IF(OR(B183="",C183=""),"",C183-B183)</f>
        <v/>
      </c>
      <c r="E183" s="14" t="n"/>
      <c r="F183" s="14" t="n"/>
      <c r="G183" s="14" t="n"/>
      <c r="H183" s="14" t="n"/>
      <c r="I183" s="16">
        <f>IF(A183="","",IF(C183&lt;B183,"km Ende &lt; km Beginn",IF(AND(ROW()&gt;5,B183&lt;&gt;"",INDEX($C$5:$C$404,ROW()-5)&lt;&gt;"",B183&lt;&gt;INDEX($C$5:$C$404,ROW()-5)),"LÜCKE im km-Stand",IF(AND(E183="betrieblich",OR(F183="",G183="",H183="")),"Pflichtangabe fehlt","ok"))))</f>
        <v/>
      </c>
    </row>
    <row r="184">
      <c r="A184" s="13" t="n"/>
      <c r="B184" s="14" t="n"/>
      <c r="C184" s="14" t="n"/>
      <c r="D184" s="15">
        <f>IF(OR(B184="",C184=""),"",C184-B184)</f>
        <v/>
      </c>
      <c r="E184" s="14" t="n"/>
      <c r="F184" s="14" t="n"/>
      <c r="G184" s="14" t="n"/>
      <c r="H184" s="14" t="n"/>
      <c r="I184" s="16">
        <f>IF(A184="","",IF(C184&lt;B184,"km Ende &lt; km Beginn",IF(AND(ROW()&gt;5,B184&lt;&gt;"",INDEX($C$5:$C$404,ROW()-5)&lt;&gt;"",B184&lt;&gt;INDEX($C$5:$C$404,ROW()-5)),"LÜCKE im km-Stand",IF(AND(E184="betrieblich",OR(F184="",G184="",H184="")),"Pflichtangabe fehlt","ok"))))</f>
        <v/>
      </c>
    </row>
    <row r="185">
      <c r="A185" s="13" t="n"/>
      <c r="B185" s="14" t="n"/>
      <c r="C185" s="14" t="n"/>
      <c r="D185" s="15">
        <f>IF(OR(B185="",C185=""),"",C185-B185)</f>
        <v/>
      </c>
      <c r="E185" s="14" t="n"/>
      <c r="F185" s="14" t="n"/>
      <c r="G185" s="14" t="n"/>
      <c r="H185" s="14" t="n"/>
      <c r="I185" s="16">
        <f>IF(A185="","",IF(C185&lt;B185,"km Ende &lt; km Beginn",IF(AND(ROW()&gt;5,B185&lt;&gt;"",INDEX($C$5:$C$404,ROW()-5)&lt;&gt;"",B185&lt;&gt;INDEX($C$5:$C$404,ROW()-5)),"LÜCKE im km-Stand",IF(AND(E185="betrieblich",OR(F185="",G185="",H185="")),"Pflichtangabe fehlt","ok"))))</f>
        <v/>
      </c>
    </row>
    <row r="186">
      <c r="A186" s="13" t="n"/>
      <c r="B186" s="14" t="n"/>
      <c r="C186" s="14" t="n"/>
      <c r="D186" s="15">
        <f>IF(OR(B186="",C186=""),"",C186-B186)</f>
        <v/>
      </c>
      <c r="E186" s="14" t="n"/>
      <c r="F186" s="14" t="n"/>
      <c r="G186" s="14" t="n"/>
      <c r="H186" s="14" t="n"/>
      <c r="I186" s="16">
        <f>IF(A186="","",IF(C186&lt;B186,"km Ende &lt; km Beginn",IF(AND(ROW()&gt;5,B186&lt;&gt;"",INDEX($C$5:$C$404,ROW()-5)&lt;&gt;"",B186&lt;&gt;INDEX($C$5:$C$404,ROW()-5)),"LÜCKE im km-Stand",IF(AND(E186="betrieblich",OR(F186="",G186="",H186="")),"Pflichtangabe fehlt","ok"))))</f>
        <v/>
      </c>
    </row>
    <row r="187">
      <c r="A187" s="13" t="n"/>
      <c r="B187" s="14" t="n"/>
      <c r="C187" s="14" t="n"/>
      <c r="D187" s="15">
        <f>IF(OR(B187="",C187=""),"",C187-B187)</f>
        <v/>
      </c>
      <c r="E187" s="14" t="n"/>
      <c r="F187" s="14" t="n"/>
      <c r="G187" s="14" t="n"/>
      <c r="H187" s="14" t="n"/>
      <c r="I187" s="16">
        <f>IF(A187="","",IF(C187&lt;B187,"km Ende &lt; km Beginn",IF(AND(ROW()&gt;5,B187&lt;&gt;"",INDEX($C$5:$C$404,ROW()-5)&lt;&gt;"",B187&lt;&gt;INDEX($C$5:$C$404,ROW()-5)),"LÜCKE im km-Stand",IF(AND(E187="betrieblich",OR(F187="",G187="",H187="")),"Pflichtangabe fehlt","ok"))))</f>
        <v/>
      </c>
    </row>
    <row r="188">
      <c r="A188" s="13" t="n"/>
      <c r="B188" s="14" t="n"/>
      <c r="C188" s="14" t="n"/>
      <c r="D188" s="15">
        <f>IF(OR(B188="",C188=""),"",C188-B188)</f>
        <v/>
      </c>
      <c r="E188" s="14" t="n"/>
      <c r="F188" s="14" t="n"/>
      <c r="G188" s="14" t="n"/>
      <c r="H188" s="14" t="n"/>
      <c r="I188" s="16">
        <f>IF(A188="","",IF(C188&lt;B188,"km Ende &lt; km Beginn",IF(AND(ROW()&gt;5,B188&lt;&gt;"",INDEX($C$5:$C$404,ROW()-5)&lt;&gt;"",B188&lt;&gt;INDEX($C$5:$C$404,ROW()-5)),"LÜCKE im km-Stand",IF(AND(E188="betrieblich",OR(F188="",G188="",H188="")),"Pflichtangabe fehlt","ok"))))</f>
        <v/>
      </c>
    </row>
    <row r="189">
      <c r="A189" s="13" t="n"/>
      <c r="B189" s="14" t="n"/>
      <c r="C189" s="14" t="n"/>
      <c r="D189" s="15">
        <f>IF(OR(B189="",C189=""),"",C189-B189)</f>
        <v/>
      </c>
      <c r="E189" s="14" t="n"/>
      <c r="F189" s="14" t="n"/>
      <c r="G189" s="14" t="n"/>
      <c r="H189" s="14" t="n"/>
      <c r="I189" s="16">
        <f>IF(A189="","",IF(C189&lt;B189,"km Ende &lt; km Beginn",IF(AND(ROW()&gt;5,B189&lt;&gt;"",INDEX($C$5:$C$404,ROW()-5)&lt;&gt;"",B189&lt;&gt;INDEX($C$5:$C$404,ROW()-5)),"LÜCKE im km-Stand",IF(AND(E189="betrieblich",OR(F189="",G189="",H189="")),"Pflichtangabe fehlt","ok"))))</f>
        <v/>
      </c>
    </row>
    <row r="190">
      <c r="A190" s="13" t="n"/>
      <c r="B190" s="14" t="n"/>
      <c r="C190" s="14" t="n"/>
      <c r="D190" s="15">
        <f>IF(OR(B190="",C190=""),"",C190-B190)</f>
        <v/>
      </c>
      <c r="E190" s="14" t="n"/>
      <c r="F190" s="14" t="n"/>
      <c r="G190" s="14" t="n"/>
      <c r="H190" s="14" t="n"/>
      <c r="I190" s="16">
        <f>IF(A190="","",IF(C190&lt;B190,"km Ende &lt; km Beginn",IF(AND(ROW()&gt;5,B190&lt;&gt;"",INDEX($C$5:$C$404,ROW()-5)&lt;&gt;"",B190&lt;&gt;INDEX($C$5:$C$404,ROW()-5)),"LÜCKE im km-Stand",IF(AND(E190="betrieblich",OR(F190="",G190="",H190="")),"Pflichtangabe fehlt","ok"))))</f>
        <v/>
      </c>
    </row>
    <row r="191">
      <c r="A191" s="13" t="n"/>
      <c r="B191" s="14" t="n"/>
      <c r="C191" s="14" t="n"/>
      <c r="D191" s="15">
        <f>IF(OR(B191="",C191=""),"",C191-B191)</f>
        <v/>
      </c>
      <c r="E191" s="14" t="n"/>
      <c r="F191" s="14" t="n"/>
      <c r="G191" s="14" t="n"/>
      <c r="H191" s="14" t="n"/>
      <c r="I191" s="16">
        <f>IF(A191="","",IF(C191&lt;B191,"km Ende &lt; km Beginn",IF(AND(ROW()&gt;5,B191&lt;&gt;"",INDEX($C$5:$C$404,ROW()-5)&lt;&gt;"",B191&lt;&gt;INDEX($C$5:$C$404,ROW()-5)),"LÜCKE im km-Stand",IF(AND(E191="betrieblich",OR(F191="",G191="",H191="")),"Pflichtangabe fehlt","ok"))))</f>
        <v/>
      </c>
    </row>
    <row r="192">
      <c r="A192" s="13" t="n"/>
      <c r="B192" s="14" t="n"/>
      <c r="C192" s="14" t="n"/>
      <c r="D192" s="15">
        <f>IF(OR(B192="",C192=""),"",C192-B192)</f>
        <v/>
      </c>
      <c r="E192" s="14" t="n"/>
      <c r="F192" s="14" t="n"/>
      <c r="G192" s="14" t="n"/>
      <c r="H192" s="14" t="n"/>
      <c r="I192" s="16">
        <f>IF(A192="","",IF(C192&lt;B192,"km Ende &lt; km Beginn",IF(AND(ROW()&gt;5,B192&lt;&gt;"",INDEX($C$5:$C$404,ROW()-5)&lt;&gt;"",B192&lt;&gt;INDEX($C$5:$C$404,ROW()-5)),"LÜCKE im km-Stand",IF(AND(E192="betrieblich",OR(F192="",G192="",H192="")),"Pflichtangabe fehlt","ok"))))</f>
        <v/>
      </c>
    </row>
    <row r="193">
      <c r="A193" s="13" t="n"/>
      <c r="B193" s="14" t="n"/>
      <c r="C193" s="14" t="n"/>
      <c r="D193" s="15">
        <f>IF(OR(B193="",C193=""),"",C193-B193)</f>
        <v/>
      </c>
      <c r="E193" s="14" t="n"/>
      <c r="F193" s="14" t="n"/>
      <c r="G193" s="14" t="n"/>
      <c r="H193" s="14" t="n"/>
      <c r="I193" s="16">
        <f>IF(A193="","",IF(C193&lt;B193,"km Ende &lt; km Beginn",IF(AND(ROW()&gt;5,B193&lt;&gt;"",INDEX($C$5:$C$404,ROW()-5)&lt;&gt;"",B193&lt;&gt;INDEX($C$5:$C$404,ROW()-5)),"LÜCKE im km-Stand",IF(AND(E193="betrieblich",OR(F193="",G193="",H193="")),"Pflichtangabe fehlt","ok"))))</f>
        <v/>
      </c>
    </row>
    <row r="194">
      <c r="A194" s="13" t="n"/>
      <c r="B194" s="14" t="n"/>
      <c r="C194" s="14" t="n"/>
      <c r="D194" s="15">
        <f>IF(OR(B194="",C194=""),"",C194-B194)</f>
        <v/>
      </c>
      <c r="E194" s="14" t="n"/>
      <c r="F194" s="14" t="n"/>
      <c r="G194" s="14" t="n"/>
      <c r="H194" s="14" t="n"/>
      <c r="I194" s="16">
        <f>IF(A194="","",IF(C194&lt;B194,"km Ende &lt; km Beginn",IF(AND(ROW()&gt;5,B194&lt;&gt;"",INDEX($C$5:$C$404,ROW()-5)&lt;&gt;"",B194&lt;&gt;INDEX($C$5:$C$404,ROW()-5)),"LÜCKE im km-Stand",IF(AND(E194="betrieblich",OR(F194="",G194="",H194="")),"Pflichtangabe fehlt","ok"))))</f>
        <v/>
      </c>
    </row>
    <row r="195">
      <c r="A195" s="13" t="n"/>
      <c r="B195" s="14" t="n"/>
      <c r="C195" s="14" t="n"/>
      <c r="D195" s="15">
        <f>IF(OR(B195="",C195=""),"",C195-B195)</f>
        <v/>
      </c>
      <c r="E195" s="14" t="n"/>
      <c r="F195" s="14" t="n"/>
      <c r="G195" s="14" t="n"/>
      <c r="H195" s="14" t="n"/>
      <c r="I195" s="16">
        <f>IF(A195="","",IF(C195&lt;B195,"km Ende &lt; km Beginn",IF(AND(ROW()&gt;5,B195&lt;&gt;"",INDEX($C$5:$C$404,ROW()-5)&lt;&gt;"",B195&lt;&gt;INDEX($C$5:$C$404,ROW()-5)),"LÜCKE im km-Stand",IF(AND(E195="betrieblich",OR(F195="",G195="",H195="")),"Pflichtangabe fehlt","ok"))))</f>
        <v/>
      </c>
    </row>
    <row r="196">
      <c r="A196" s="13" t="n"/>
      <c r="B196" s="14" t="n"/>
      <c r="C196" s="14" t="n"/>
      <c r="D196" s="15">
        <f>IF(OR(B196="",C196=""),"",C196-B196)</f>
        <v/>
      </c>
      <c r="E196" s="14" t="n"/>
      <c r="F196" s="14" t="n"/>
      <c r="G196" s="14" t="n"/>
      <c r="H196" s="14" t="n"/>
      <c r="I196" s="16">
        <f>IF(A196="","",IF(C196&lt;B196,"km Ende &lt; km Beginn",IF(AND(ROW()&gt;5,B196&lt;&gt;"",INDEX($C$5:$C$404,ROW()-5)&lt;&gt;"",B196&lt;&gt;INDEX($C$5:$C$404,ROW()-5)),"LÜCKE im km-Stand",IF(AND(E196="betrieblich",OR(F196="",G196="",H196="")),"Pflichtangabe fehlt","ok"))))</f>
        <v/>
      </c>
    </row>
    <row r="197">
      <c r="A197" s="13" t="n"/>
      <c r="B197" s="14" t="n"/>
      <c r="C197" s="14" t="n"/>
      <c r="D197" s="15">
        <f>IF(OR(B197="",C197=""),"",C197-B197)</f>
        <v/>
      </c>
      <c r="E197" s="14" t="n"/>
      <c r="F197" s="14" t="n"/>
      <c r="G197" s="14" t="n"/>
      <c r="H197" s="14" t="n"/>
      <c r="I197" s="16">
        <f>IF(A197="","",IF(C197&lt;B197,"km Ende &lt; km Beginn",IF(AND(ROW()&gt;5,B197&lt;&gt;"",INDEX($C$5:$C$404,ROW()-5)&lt;&gt;"",B197&lt;&gt;INDEX($C$5:$C$404,ROW()-5)),"LÜCKE im km-Stand",IF(AND(E197="betrieblich",OR(F197="",G197="",H197="")),"Pflichtangabe fehlt","ok"))))</f>
        <v/>
      </c>
    </row>
    <row r="198">
      <c r="A198" s="13" t="n"/>
      <c r="B198" s="14" t="n"/>
      <c r="C198" s="14" t="n"/>
      <c r="D198" s="15">
        <f>IF(OR(B198="",C198=""),"",C198-B198)</f>
        <v/>
      </c>
      <c r="E198" s="14" t="n"/>
      <c r="F198" s="14" t="n"/>
      <c r="G198" s="14" t="n"/>
      <c r="H198" s="14" t="n"/>
      <c r="I198" s="16">
        <f>IF(A198="","",IF(C198&lt;B198,"km Ende &lt; km Beginn",IF(AND(ROW()&gt;5,B198&lt;&gt;"",INDEX($C$5:$C$404,ROW()-5)&lt;&gt;"",B198&lt;&gt;INDEX($C$5:$C$404,ROW()-5)),"LÜCKE im km-Stand",IF(AND(E198="betrieblich",OR(F198="",G198="",H198="")),"Pflichtangabe fehlt","ok"))))</f>
        <v/>
      </c>
    </row>
    <row r="199">
      <c r="A199" s="13" t="n"/>
      <c r="B199" s="14" t="n"/>
      <c r="C199" s="14" t="n"/>
      <c r="D199" s="15">
        <f>IF(OR(B199="",C199=""),"",C199-B199)</f>
        <v/>
      </c>
      <c r="E199" s="14" t="n"/>
      <c r="F199" s="14" t="n"/>
      <c r="G199" s="14" t="n"/>
      <c r="H199" s="14" t="n"/>
      <c r="I199" s="16">
        <f>IF(A199="","",IF(C199&lt;B199,"km Ende &lt; km Beginn",IF(AND(ROW()&gt;5,B199&lt;&gt;"",INDEX($C$5:$C$404,ROW()-5)&lt;&gt;"",B199&lt;&gt;INDEX($C$5:$C$404,ROW()-5)),"LÜCKE im km-Stand",IF(AND(E199="betrieblich",OR(F199="",G199="",H199="")),"Pflichtangabe fehlt","ok"))))</f>
        <v/>
      </c>
    </row>
    <row r="200">
      <c r="A200" s="13" t="n"/>
      <c r="B200" s="14" t="n"/>
      <c r="C200" s="14" t="n"/>
      <c r="D200" s="15">
        <f>IF(OR(B200="",C200=""),"",C200-B200)</f>
        <v/>
      </c>
      <c r="E200" s="14" t="n"/>
      <c r="F200" s="14" t="n"/>
      <c r="G200" s="14" t="n"/>
      <c r="H200" s="14" t="n"/>
      <c r="I200" s="16">
        <f>IF(A200="","",IF(C200&lt;B200,"km Ende &lt; km Beginn",IF(AND(ROW()&gt;5,B200&lt;&gt;"",INDEX($C$5:$C$404,ROW()-5)&lt;&gt;"",B200&lt;&gt;INDEX($C$5:$C$404,ROW()-5)),"LÜCKE im km-Stand",IF(AND(E200="betrieblich",OR(F200="",G200="",H200="")),"Pflichtangabe fehlt","ok"))))</f>
        <v/>
      </c>
    </row>
    <row r="201">
      <c r="A201" s="13" t="n"/>
      <c r="B201" s="14" t="n"/>
      <c r="C201" s="14" t="n"/>
      <c r="D201" s="15">
        <f>IF(OR(B201="",C201=""),"",C201-B201)</f>
        <v/>
      </c>
      <c r="E201" s="14" t="n"/>
      <c r="F201" s="14" t="n"/>
      <c r="G201" s="14" t="n"/>
      <c r="H201" s="14" t="n"/>
      <c r="I201" s="16">
        <f>IF(A201="","",IF(C201&lt;B201,"km Ende &lt; km Beginn",IF(AND(ROW()&gt;5,B201&lt;&gt;"",INDEX($C$5:$C$404,ROW()-5)&lt;&gt;"",B201&lt;&gt;INDEX($C$5:$C$404,ROW()-5)),"LÜCKE im km-Stand",IF(AND(E201="betrieblich",OR(F201="",G201="",H201="")),"Pflichtangabe fehlt","ok"))))</f>
        <v/>
      </c>
    </row>
    <row r="202">
      <c r="A202" s="13" t="n"/>
      <c r="B202" s="14" t="n"/>
      <c r="C202" s="14" t="n"/>
      <c r="D202" s="15">
        <f>IF(OR(B202="",C202=""),"",C202-B202)</f>
        <v/>
      </c>
      <c r="E202" s="14" t="n"/>
      <c r="F202" s="14" t="n"/>
      <c r="G202" s="14" t="n"/>
      <c r="H202" s="14" t="n"/>
      <c r="I202" s="16">
        <f>IF(A202="","",IF(C202&lt;B202,"km Ende &lt; km Beginn",IF(AND(ROW()&gt;5,B202&lt;&gt;"",INDEX($C$5:$C$404,ROW()-5)&lt;&gt;"",B202&lt;&gt;INDEX($C$5:$C$404,ROW()-5)),"LÜCKE im km-Stand",IF(AND(E202="betrieblich",OR(F202="",G202="",H202="")),"Pflichtangabe fehlt","ok"))))</f>
        <v/>
      </c>
    </row>
    <row r="203">
      <c r="A203" s="13" t="n"/>
      <c r="B203" s="14" t="n"/>
      <c r="C203" s="14" t="n"/>
      <c r="D203" s="15">
        <f>IF(OR(B203="",C203=""),"",C203-B203)</f>
        <v/>
      </c>
      <c r="E203" s="14" t="n"/>
      <c r="F203" s="14" t="n"/>
      <c r="G203" s="14" t="n"/>
      <c r="H203" s="14" t="n"/>
      <c r="I203" s="16">
        <f>IF(A203="","",IF(C203&lt;B203,"km Ende &lt; km Beginn",IF(AND(ROW()&gt;5,B203&lt;&gt;"",INDEX($C$5:$C$404,ROW()-5)&lt;&gt;"",B203&lt;&gt;INDEX($C$5:$C$404,ROW()-5)),"LÜCKE im km-Stand",IF(AND(E203="betrieblich",OR(F203="",G203="",H203="")),"Pflichtangabe fehlt","ok"))))</f>
        <v/>
      </c>
    </row>
    <row r="204">
      <c r="A204" s="13" t="n"/>
      <c r="B204" s="14" t="n"/>
      <c r="C204" s="14" t="n"/>
      <c r="D204" s="15">
        <f>IF(OR(B204="",C204=""),"",C204-B204)</f>
        <v/>
      </c>
      <c r="E204" s="14" t="n"/>
      <c r="F204" s="14" t="n"/>
      <c r="G204" s="14" t="n"/>
      <c r="H204" s="14" t="n"/>
      <c r="I204" s="16">
        <f>IF(A204="","",IF(C204&lt;B204,"km Ende &lt; km Beginn",IF(AND(ROW()&gt;5,B204&lt;&gt;"",INDEX($C$5:$C$404,ROW()-5)&lt;&gt;"",B204&lt;&gt;INDEX($C$5:$C$404,ROW()-5)),"LÜCKE im km-Stand",IF(AND(E204="betrieblich",OR(F204="",G204="",H204="")),"Pflichtangabe fehlt","ok"))))</f>
        <v/>
      </c>
    </row>
    <row r="205">
      <c r="A205" s="13" t="n"/>
      <c r="B205" s="14" t="n"/>
      <c r="C205" s="14" t="n"/>
      <c r="D205" s="15">
        <f>IF(OR(B205="",C205=""),"",C205-B205)</f>
        <v/>
      </c>
      <c r="E205" s="14" t="n"/>
      <c r="F205" s="14" t="n"/>
      <c r="G205" s="14" t="n"/>
      <c r="H205" s="14" t="n"/>
      <c r="I205" s="16">
        <f>IF(A205="","",IF(C205&lt;B205,"km Ende &lt; km Beginn",IF(AND(ROW()&gt;5,B205&lt;&gt;"",INDEX($C$5:$C$404,ROW()-5)&lt;&gt;"",B205&lt;&gt;INDEX($C$5:$C$404,ROW()-5)),"LÜCKE im km-Stand",IF(AND(E205="betrieblich",OR(F205="",G205="",H205="")),"Pflichtangabe fehlt","ok"))))</f>
        <v/>
      </c>
    </row>
    <row r="206">
      <c r="A206" s="13" t="n"/>
      <c r="B206" s="14" t="n"/>
      <c r="C206" s="14" t="n"/>
      <c r="D206" s="15">
        <f>IF(OR(B206="",C206=""),"",C206-B206)</f>
        <v/>
      </c>
      <c r="E206" s="14" t="n"/>
      <c r="F206" s="14" t="n"/>
      <c r="G206" s="14" t="n"/>
      <c r="H206" s="14" t="n"/>
      <c r="I206" s="16">
        <f>IF(A206="","",IF(C206&lt;B206,"km Ende &lt; km Beginn",IF(AND(ROW()&gt;5,B206&lt;&gt;"",INDEX($C$5:$C$404,ROW()-5)&lt;&gt;"",B206&lt;&gt;INDEX($C$5:$C$404,ROW()-5)),"LÜCKE im km-Stand",IF(AND(E206="betrieblich",OR(F206="",G206="",H206="")),"Pflichtangabe fehlt","ok"))))</f>
        <v/>
      </c>
    </row>
    <row r="207">
      <c r="A207" s="13" t="n"/>
      <c r="B207" s="14" t="n"/>
      <c r="C207" s="14" t="n"/>
      <c r="D207" s="15">
        <f>IF(OR(B207="",C207=""),"",C207-B207)</f>
        <v/>
      </c>
      <c r="E207" s="14" t="n"/>
      <c r="F207" s="14" t="n"/>
      <c r="G207" s="14" t="n"/>
      <c r="H207" s="14" t="n"/>
      <c r="I207" s="16">
        <f>IF(A207="","",IF(C207&lt;B207,"km Ende &lt; km Beginn",IF(AND(ROW()&gt;5,B207&lt;&gt;"",INDEX($C$5:$C$404,ROW()-5)&lt;&gt;"",B207&lt;&gt;INDEX($C$5:$C$404,ROW()-5)),"LÜCKE im km-Stand",IF(AND(E207="betrieblich",OR(F207="",G207="",H207="")),"Pflichtangabe fehlt","ok"))))</f>
        <v/>
      </c>
    </row>
    <row r="208">
      <c r="A208" s="13" t="n"/>
      <c r="B208" s="14" t="n"/>
      <c r="C208" s="14" t="n"/>
      <c r="D208" s="15">
        <f>IF(OR(B208="",C208=""),"",C208-B208)</f>
        <v/>
      </c>
      <c r="E208" s="14" t="n"/>
      <c r="F208" s="14" t="n"/>
      <c r="G208" s="14" t="n"/>
      <c r="H208" s="14" t="n"/>
      <c r="I208" s="16">
        <f>IF(A208="","",IF(C208&lt;B208,"km Ende &lt; km Beginn",IF(AND(ROW()&gt;5,B208&lt;&gt;"",INDEX($C$5:$C$404,ROW()-5)&lt;&gt;"",B208&lt;&gt;INDEX($C$5:$C$404,ROW()-5)),"LÜCKE im km-Stand",IF(AND(E208="betrieblich",OR(F208="",G208="",H208="")),"Pflichtangabe fehlt","ok"))))</f>
        <v/>
      </c>
    </row>
    <row r="209">
      <c r="A209" s="13" t="n"/>
      <c r="B209" s="14" t="n"/>
      <c r="C209" s="14" t="n"/>
      <c r="D209" s="15">
        <f>IF(OR(B209="",C209=""),"",C209-B209)</f>
        <v/>
      </c>
      <c r="E209" s="14" t="n"/>
      <c r="F209" s="14" t="n"/>
      <c r="G209" s="14" t="n"/>
      <c r="H209" s="14" t="n"/>
      <c r="I209" s="16">
        <f>IF(A209="","",IF(C209&lt;B209,"km Ende &lt; km Beginn",IF(AND(ROW()&gt;5,B209&lt;&gt;"",INDEX($C$5:$C$404,ROW()-5)&lt;&gt;"",B209&lt;&gt;INDEX($C$5:$C$404,ROW()-5)),"LÜCKE im km-Stand",IF(AND(E209="betrieblich",OR(F209="",G209="",H209="")),"Pflichtangabe fehlt","ok"))))</f>
        <v/>
      </c>
    </row>
    <row r="210">
      <c r="A210" s="13" t="n"/>
      <c r="B210" s="14" t="n"/>
      <c r="C210" s="14" t="n"/>
      <c r="D210" s="15">
        <f>IF(OR(B210="",C210=""),"",C210-B210)</f>
        <v/>
      </c>
      <c r="E210" s="14" t="n"/>
      <c r="F210" s="14" t="n"/>
      <c r="G210" s="14" t="n"/>
      <c r="H210" s="14" t="n"/>
      <c r="I210" s="16">
        <f>IF(A210="","",IF(C210&lt;B210,"km Ende &lt; km Beginn",IF(AND(ROW()&gt;5,B210&lt;&gt;"",INDEX($C$5:$C$404,ROW()-5)&lt;&gt;"",B210&lt;&gt;INDEX($C$5:$C$404,ROW()-5)),"LÜCKE im km-Stand",IF(AND(E210="betrieblich",OR(F210="",G210="",H210="")),"Pflichtangabe fehlt","ok"))))</f>
        <v/>
      </c>
    </row>
    <row r="211">
      <c r="A211" s="13" t="n"/>
      <c r="B211" s="14" t="n"/>
      <c r="C211" s="14" t="n"/>
      <c r="D211" s="15">
        <f>IF(OR(B211="",C211=""),"",C211-B211)</f>
        <v/>
      </c>
      <c r="E211" s="14" t="n"/>
      <c r="F211" s="14" t="n"/>
      <c r="G211" s="14" t="n"/>
      <c r="H211" s="14" t="n"/>
      <c r="I211" s="16">
        <f>IF(A211="","",IF(C211&lt;B211,"km Ende &lt; km Beginn",IF(AND(ROW()&gt;5,B211&lt;&gt;"",INDEX($C$5:$C$404,ROW()-5)&lt;&gt;"",B211&lt;&gt;INDEX($C$5:$C$404,ROW()-5)),"LÜCKE im km-Stand",IF(AND(E211="betrieblich",OR(F211="",G211="",H211="")),"Pflichtangabe fehlt","ok"))))</f>
        <v/>
      </c>
    </row>
    <row r="212">
      <c r="A212" s="13" t="n"/>
      <c r="B212" s="14" t="n"/>
      <c r="C212" s="14" t="n"/>
      <c r="D212" s="15">
        <f>IF(OR(B212="",C212=""),"",C212-B212)</f>
        <v/>
      </c>
      <c r="E212" s="14" t="n"/>
      <c r="F212" s="14" t="n"/>
      <c r="G212" s="14" t="n"/>
      <c r="H212" s="14" t="n"/>
      <c r="I212" s="16">
        <f>IF(A212="","",IF(C212&lt;B212,"km Ende &lt; km Beginn",IF(AND(ROW()&gt;5,B212&lt;&gt;"",INDEX($C$5:$C$404,ROW()-5)&lt;&gt;"",B212&lt;&gt;INDEX($C$5:$C$404,ROW()-5)),"LÜCKE im km-Stand",IF(AND(E212="betrieblich",OR(F212="",G212="",H212="")),"Pflichtangabe fehlt","ok"))))</f>
        <v/>
      </c>
    </row>
    <row r="213">
      <c r="A213" s="13" t="n"/>
      <c r="B213" s="14" t="n"/>
      <c r="C213" s="14" t="n"/>
      <c r="D213" s="15">
        <f>IF(OR(B213="",C213=""),"",C213-B213)</f>
        <v/>
      </c>
      <c r="E213" s="14" t="n"/>
      <c r="F213" s="14" t="n"/>
      <c r="G213" s="14" t="n"/>
      <c r="H213" s="14" t="n"/>
      <c r="I213" s="16">
        <f>IF(A213="","",IF(C213&lt;B213,"km Ende &lt; km Beginn",IF(AND(ROW()&gt;5,B213&lt;&gt;"",INDEX($C$5:$C$404,ROW()-5)&lt;&gt;"",B213&lt;&gt;INDEX($C$5:$C$404,ROW()-5)),"LÜCKE im km-Stand",IF(AND(E213="betrieblich",OR(F213="",G213="",H213="")),"Pflichtangabe fehlt","ok"))))</f>
        <v/>
      </c>
    </row>
    <row r="214">
      <c r="A214" s="13" t="n"/>
      <c r="B214" s="14" t="n"/>
      <c r="C214" s="14" t="n"/>
      <c r="D214" s="15">
        <f>IF(OR(B214="",C214=""),"",C214-B214)</f>
        <v/>
      </c>
      <c r="E214" s="14" t="n"/>
      <c r="F214" s="14" t="n"/>
      <c r="G214" s="14" t="n"/>
      <c r="H214" s="14" t="n"/>
      <c r="I214" s="16">
        <f>IF(A214="","",IF(C214&lt;B214,"km Ende &lt; km Beginn",IF(AND(ROW()&gt;5,B214&lt;&gt;"",INDEX($C$5:$C$404,ROW()-5)&lt;&gt;"",B214&lt;&gt;INDEX($C$5:$C$404,ROW()-5)),"LÜCKE im km-Stand",IF(AND(E214="betrieblich",OR(F214="",G214="",H214="")),"Pflichtangabe fehlt","ok"))))</f>
        <v/>
      </c>
    </row>
    <row r="215">
      <c r="A215" s="13" t="n"/>
      <c r="B215" s="14" t="n"/>
      <c r="C215" s="14" t="n"/>
      <c r="D215" s="15">
        <f>IF(OR(B215="",C215=""),"",C215-B215)</f>
        <v/>
      </c>
      <c r="E215" s="14" t="n"/>
      <c r="F215" s="14" t="n"/>
      <c r="G215" s="14" t="n"/>
      <c r="H215" s="14" t="n"/>
      <c r="I215" s="16">
        <f>IF(A215="","",IF(C215&lt;B215,"km Ende &lt; km Beginn",IF(AND(ROW()&gt;5,B215&lt;&gt;"",INDEX($C$5:$C$404,ROW()-5)&lt;&gt;"",B215&lt;&gt;INDEX($C$5:$C$404,ROW()-5)),"LÜCKE im km-Stand",IF(AND(E215="betrieblich",OR(F215="",G215="",H215="")),"Pflichtangabe fehlt","ok"))))</f>
        <v/>
      </c>
    </row>
    <row r="216">
      <c r="A216" s="13" t="n"/>
      <c r="B216" s="14" t="n"/>
      <c r="C216" s="14" t="n"/>
      <c r="D216" s="15">
        <f>IF(OR(B216="",C216=""),"",C216-B216)</f>
        <v/>
      </c>
      <c r="E216" s="14" t="n"/>
      <c r="F216" s="14" t="n"/>
      <c r="G216" s="14" t="n"/>
      <c r="H216" s="14" t="n"/>
      <c r="I216" s="16">
        <f>IF(A216="","",IF(C216&lt;B216,"km Ende &lt; km Beginn",IF(AND(ROW()&gt;5,B216&lt;&gt;"",INDEX($C$5:$C$404,ROW()-5)&lt;&gt;"",B216&lt;&gt;INDEX($C$5:$C$404,ROW()-5)),"LÜCKE im km-Stand",IF(AND(E216="betrieblich",OR(F216="",G216="",H216="")),"Pflichtangabe fehlt","ok"))))</f>
        <v/>
      </c>
    </row>
    <row r="217">
      <c r="A217" s="13" t="n"/>
      <c r="B217" s="14" t="n"/>
      <c r="C217" s="14" t="n"/>
      <c r="D217" s="15">
        <f>IF(OR(B217="",C217=""),"",C217-B217)</f>
        <v/>
      </c>
      <c r="E217" s="14" t="n"/>
      <c r="F217" s="14" t="n"/>
      <c r="G217" s="14" t="n"/>
      <c r="H217" s="14" t="n"/>
      <c r="I217" s="16">
        <f>IF(A217="","",IF(C217&lt;B217,"km Ende &lt; km Beginn",IF(AND(ROW()&gt;5,B217&lt;&gt;"",INDEX($C$5:$C$404,ROW()-5)&lt;&gt;"",B217&lt;&gt;INDEX($C$5:$C$404,ROW()-5)),"LÜCKE im km-Stand",IF(AND(E217="betrieblich",OR(F217="",G217="",H217="")),"Pflichtangabe fehlt","ok"))))</f>
        <v/>
      </c>
    </row>
    <row r="218">
      <c r="A218" s="13" t="n"/>
      <c r="B218" s="14" t="n"/>
      <c r="C218" s="14" t="n"/>
      <c r="D218" s="15">
        <f>IF(OR(B218="",C218=""),"",C218-B218)</f>
        <v/>
      </c>
      <c r="E218" s="14" t="n"/>
      <c r="F218" s="14" t="n"/>
      <c r="G218" s="14" t="n"/>
      <c r="H218" s="14" t="n"/>
      <c r="I218" s="16">
        <f>IF(A218="","",IF(C218&lt;B218,"km Ende &lt; km Beginn",IF(AND(ROW()&gt;5,B218&lt;&gt;"",INDEX($C$5:$C$404,ROW()-5)&lt;&gt;"",B218&lt;&gt;INDEX($C$5:$C$404,ROW()-5)),"LÜCKE im km-Stand",IF(AND(E218="betrieblich",OR(F218="",G218="",H218="")),"Pflichtangabe fehlt","ok"))))</f>
        <v/>
      </c>
    </row>
    <row r="219">
      <c r="A219" s="13" t="n"/>
      <c r="B219" s="14" t="n"/>
      <c r="C219" s="14" t="n"/>
      <c r="D219" s="15">
        <f>IF(OR(B219="",C219=""),"",C219-B219)</f>
        <v/>
      </c>
      <c r="E219" s="14" t="n"/>
      <c r="F219" s="14" t="n"/>
      <c r="G219" s="14" t="n"/>
      <c r="H219" s="14" t="n"/>
      <c r="I219" s="16">
        <f>IF(A219="","",IF(C219&lt;B219,"km Ende &lt; km Beginn",IF(AND(ROW()&gt;5,B219&lt;&gt;"",INDEX($C$5:$C$404,ROW()-5)&lt;&gt;"",B219&lt;&gt;INDEX($C$5:$C$404,ROW()-5)),"LÜCKE im km-Stand",IF(AND(E219="betrieblich",OR(F219="",G219="",H219="")),"Pflichtangabe fehlt","ok"))))</f>
        <v/>
      </c>
    </row>
    <row r="220">
      <c r="A220" s="13" t="n"/>
      <c r="B220" s="14" t="n"/>
      <c r="C220" s="14" t="n"/>
      <c r="D220" s="15">
        <f>IF(OR(B220="",C220=""),"",C220-B220)</f>
        <v/>
      </c>
      <c r="E220" s="14" t="n"/>
      <c r="F220" s="14" t="n"/>
      <c r="G220" s="14" t="n"/>
      <c r="H220" s="14" t="n"/>
      <c r="I220" s="16">
        <f>IF(A220="","",IF(C220&lt;B220,"km Ende &lt; km Beginn",IF(AND(ROW()&gt;5,B220&lt;&gt;"",INDEX($C$5:$C$404,ROW()-5)&lt;&gt;"",B220&lt;&gt;INDEX($C$5:$C$404,ROW()-5)),"LÜCKE im km-Stand",IF(AND(E220="betrieblich",OR(F220="",G220="",H220="")),"Pflichtangabe fehlt","ok"))))</f>
        <v/>
      </c>
    </row>
    <row r="221">
      <c r="A221" s="13" t="n"/>
      <c r="B221" s="14" t="n"/>
      <c r="C221" s="14" t="n"/>
      <c r="D221" s="15">
        <f>IF(OR(B221="",C221=""),"",C221-B221)</f>
        <v/>
      </c>
      <c r="E221" s="14" t="n"/>
      <c r="F221" s="14" t="n"/>
      <c r="G221" s="14" t="n"/>
      <c r="H221" s="14" t="n"/>
      <c r="I221" s="16">
        <f>IF(A221="","",IF(C221&lt;B221,"km Ende &lt; km Beginn",IF(AND(ROW()&gt;5,B221&lt;&gt;"",INDEX($C$5:$C$404,ROW()-5)&lt;&gt;"",B221&lt;&gt;INDEX($C$5:$C$404,ROW()-5)),"LÜCKE im km-Stand",IF(AND(E221="betrieblich",OR(F221="",G221="",H221="")),"Pflichtangabe fehlt","ok"))))</f>
        <v/>
      </c>
    </row>
    <row r="222">
      <c r="A222" s="13" t="n"/>
      <c r="B222" s="14" t="n"/>
      <c r="C222" s="14" t="n"/>
      <c r="D222" s="15">
        <f>IF(OR(B222="",C222=""),"",C222-B222)</f>
        <v/>
      </c>
      <c r="E222" s="14" t="n"/>
      <c r="F222" s="14" t="n"/>
      <c r="G222" s="14" t="n"/>
      <c r="H222" s="14" t="n"/>
      <c r="I222" s="16">
        <f>IF(A222="","",IF(C222&lt;B222,"km Ende &lt; km Beginn",IF(AND(ROW()&gt;5,B222&lt;&gt;"",INDEX($C$5:$C$404,ROW()-5)&lt;&gt;"",B222&lt;&gt;INDEX($C$5:$C$404,ROW()-5)),"LÜCKE im km-Stand",IF(AND(E222="betrieblich",OR(F222="",G222="",H222="")),"Pflichtangabe fehlt","ok"))))</f>
        <v/>
      </c>
    </row>
    <row r="223">
      <c r="A223" s="13" t="n"/>
      <c r="B223" s="14" t="n"/>
      <c r="C223" s="14" t="n"/>
      <c r="D223" s="15">
        <f>IF(OR(B223="",C223=""),"",C223-B223)</f>
        <v/>
      </c>
      <c r="E223" s="14" t="n"/>
      <c r="F223" s="14" t="n"/>
      <c r="G223" s="14" t="n"/>
      <c r="H223" s="14" t="n"/>
      <c r="I223" s="16">
        <f>IF(A223="","",IF(C223&lt;B223,"km Ende &lt; km Beginn",IF(AND(ROW()&gt;5,B223&lt;&gt;"",INDEX($C$5:$C$404,ROW()-5)&lt;&gt;"",B223&lt;&gt;INDEX($C$5:$C$404,ROW()-5)),"LÜCKE im km-Stand",IF(AND(E223="betrieblich",OR(F223="",G223="",H223="")),"Pflichtangabe fehlt","ok"))))</f>
        <v/>
      </c>
    </row>
    <row r="224">
      <c r="A224" s="13" t="n"/>
      <c r="B224" s="14" t="n"/>
      <c r="C224" s="14" t="n"/>
      <c r="D224" s="15">
        <f>IF(OR(B224="",C224=""),"",C224-B224)</f>
        <v/>
      </c>
      <c r="E224" s="14" t="n"/>
      <c r="F224" s="14" t="n"/>
      <c r="G224" s="14" t="n"/>
      <c r="H224" s="14" t="n"/>
      <c r="I224" s="16">
        <f>IF(A224="","",IF(C224&lt;B224,"km Ende &lt; km Beginn",IF(AND(ROW()&gt;5,B224&lt;&gt;"",INDEX($C$5:$C$404,ROW()-5)&lt;&gt;"",B224&lt;&gt;INDEX($C$5:$C$404,ROW()-5)),"LÜCKE im km-Stand",IF(AND(E224="betrieblich",OR(F224="",G224="",H224="")),"Pflichtangabe fehlt","ok"))))</f>
        <v/>
      </c>
    </row>
    <row r="225">
      <c r="A225" s="13" t="n"/>
      <c r="B225" s="14" t="n"/>
      <c r="C225" s="14" t="n"/>
      <c r="D225" s="15">
        <f>IF(OR(B225="",C225=""),"",C225-B225)</f>
        <v/>
      </c>
      <c r="E225" s="14" t="n"/>
      <c r="F225" s="14" t="n"/>
      <c r="G225" s="14" t="n"/>
      <c r="H225" s="14" t="n"/>
      <c r="I225" s="16">
        <f>IF(A225="","",IF(C225&lt;B225,"km Ende &lt; km Beginn",IF(AND(ROW()&gt;5,B225&lt;&gt;"",INDEX($C$5:$C$404,ROW()-5)&lt;&gt;"",B225&lt;&gt;INDEX($C$5:$C$404,ROW()-5)),"LÜCKE im km-Stand",IF(AND(E225="betrieblich",OR(F225="",G225="",H225="")),"Pflichtangabe fehlt","ok"))))</f>
        <v/>
      </c>
    </row>
    <row r="226">
      <c r="A226" s="13" t="n"/>
      <c r="B226" s="14" t="n"/>
      <c r="C226" s="14" t="n"/>
      <c r="D226" s="15">
        <f>IF(OR(B226="",C226=""),"",C226-B226)</f>
        <v/>
      </c>
      <c r="E226" s="14" t="n"/>
      <c r="F226" s="14" t="n"/>
      <c r="G226" s="14" t="n"/>
      <c r="H226" s="14" t="n"/>
      <c r="I226" s="16">
        <f>IF(A226="","",IF(C226&lt;B226,"km Ende &lt; km Beginn",IF(AND(ROW()&gt;5,B226&lt;&gt;"",INDEX($C$5:$C$404,ROW()-5)&lt;&gt;"",B226&lt;&gt;INDEX($C$5:$C$404,ROW()-5)),"LÜCKE im km-Stand",IF(AND(E226="betrieblich",OR(F226="",G226="",H226="")),"Pflichtangabe fehlt","ok"))))</f>
        <v/>
      </c>
    </row>
    <row r="227">
      <c r="A227" s="13" t="n"/>
      <c r="B227" s="14" t="n"/>
      <c r="C227" s="14" t="n"/>
      <c r="D227" s="15">
        <f>IF(OR(B227="",C227=""),"",C227-B227)</f>
        <v/>
      </c>
      <c r="E227" s="14" t="n"/>
      <c r="F227" s="14" t="n"/>
      <c r="G227" s="14" t="n"/>
      <c r="H227" s="14" t="n"/>
      <c r="I227" s="16">
        <f>IF(A227="","",IF(C227&lt;B227,"km Ende &lt; km Beginn",IF(AND(ROW()&gt;5,B227&lt;&gt;"",INDEX($C$5:$C$404,ROW()-5)&lt;&gt;"",B227&lt;&gt;INDEX($C$5:$C$404,ROW()-5)),"LÜCKE im km-Stand",IF(AND(E227="betrieblich",OR(F227="",G227="",H227="")),"Pflichtangabe fehlt","ok"))))</f>
        <v/>
      </c>
    </row>
    <row r="228">
      <c r="A228" s="13" t="n"/>
      <c r="B228" s="14" t="n"/>
      <c r="C228" s="14" t="n"/>
      <c r="D228" s="15">
        <f>IF(OR(B228="",C228=""),"",C228-B228)</f>
        <v/>
      </c>
      <c r="E228" s="14" t="n"/>
      <c r="F228" s="14" t="n"/>
      <c r="G228" s="14" t="n"/>
      <c r="H228" s="14" t="n"/>
      <c r="I228" s="16">
        <f>IF(A228="","",IF(C228&lt;B228,"km Ende &lt; km Beginn",IF(AND(ROW()&gt;5,B228&lt;&gt;"",INDEX($C$5:$C$404,ROW()-5)&lt;&gt;"",B228&lt;&gt;INDEX($C$5:$C$404,ROW()-5)),"LÜCKE im km-Stand",IF(AND(E228="betrieblich",OR(F228="",G228="",H228="")),"Pflichtangabe fehlt","ok"))))</f>
        <v/>
      </c>
    </row>
    <row r="229">
      <c r="A229" s="13" t="n"/>
      <c r="B229" s="14" t="n"/>
      <c r="C229" s="14" t="n"/>
      <c r="D229" s="15">
        <f>IF(OR(B229="",C229=""),"",C229-B229)</f>
        <v/>
      </c>
      <c r="E229" s="14" t="n"/>
      <c r="F229" s="14" t="n"/>
      <c r="G229" s="14" t="n"/>
      <c r="H229" s="14" t="n"/>
      <c r="I229" s="16">
        <f>IF(A229="","",IF(C229&lt;B229,"km Ende &lt; km Beginn",IF(AND(ROW()&gt;5,B229&lt;&gt;"",INDEX($C$5:$C$404,ROW()-5)&lt;&gt;"",B229&lt;&gt;INDEX($C$5:$C$404,ROW()-5)),"LÜCKE im km-Stand",IF(AND(E229="betrieblich",OR(F229="",G229="",H229="")),"Pflichtangabe fehlt","ok"))))</f>
        <v/>
      </c>
    </row>
    <row r="230">
      <c r="A230" s="13" t="n"/>
      <c r="B230" s="14" t="n"/>
      <c r="C230" s="14" t="n"/>
      <c r="D230" s="15">
        <f>IF(OR(B230="",C230=""),"",C230-B230)</f>
        <v/>
      </c>
      <c r="E230" s="14" t="n"/>
      <c r="F230" s="14" t="n"/>
      <c r="G230" s="14" t="n"/>
      <c r="H230" s="14" t="n"/>
      <c r="I230" s="16">
        <f>IF(A230="","",IF(C230&lt;B230,"km Ende &lt; km Beginn",IF(AND(ROW()&gt;5,B230&lt;&gt;"",INDEX($C$5:$C$404,ROW()-5)&lt;&gt;"",B230&lt;&gt;INDEX($C$5:$C$404,ROW()-5)),"LÜCKE im km-Stand",IF(AND(E230="betrieblich",OR(F230="",G230="",H230="")),"Pflichtangabe fehlt","ok"))))</f>
        <v/>
      </c>
    </row>
    <row r="231">
      <c r="A231" s="13" t="n"/>
      <c r="B231" s="14" t="n"/>
      <c r="C231" s="14" t="n"/>
      <c r="D231" s="15">
        <f>IF(OR(B231="",C231=""),"",C231-B231)</f>
        <v/>
      </c>
      <c r="E231" s="14" t="n"/>
      <c r="F231" s="14" t="n"/>
      <c r="G231" s="14" t="n"/>
      <c r="H231" s="14" t="n"/>
      <c r="I231" s="16">
        <f>IF(A231="","",IF(C231&lt;B231,"km Ende &lt; km Beginn",IF(AND(ROW()&gt;5,B231&lt;&gt;"",INDEX($C$5:$C$404,ROW()-5)&lt;&gt;"",B231&lt;&gt;INDEX($C$5:$C$404,ROW()-5)),"LÜCKE im km-Stand",IF(AND(E231="betrieblich",OR(F231="",G231="",H231="")),"Pflichtangabe fehlt","ok"))))</f>
        <v/>
      </c>
    </row>
    <row r="232">
      <c r="A232" s="13" t="n"/>
      <c r="B232" s="14" t="n"/>
      <c r="C232" s="14" t="n"/>
      <c r="D232" s="15">
        <f>IF(OR(B232="",C232=""),"",C232-B232)</f>
        <v/>
      </c>
      <c r="E232" s="14" t="n"/>
      <c r="F232" s="14" t="n"/>
      <c r="G232" s="14" t="n"/>
      <c r="H232" s="14" t="n"/>
      <c r="I232" s="16">
        <f>IF(A232="","",IF(C232&lt;B232,"km Ende &lt; km Beginn",IF(AND(ROW()&gt;5,B232&lt;&gt;"",INDEX($C$5:$C$404,ROW()-5)&lt;&gt;"",B232&lt;&gt;INDEX($C$5:$C$404,ROW()-5)),"LÜCKE im km-Stand",IF(AND(E232="betrieblich",OR(F232="",G232="",H232="")),"Pflichtangabe fehlt","ok"))))</f>
        <v/>
      </c>
    </row>
    <row r="233">
      <c r="A233" s="13" t="n"/>
      <c r="B233" s="14" t="n"/>
      <c r="C233" s="14" t="n"/>
      <c r="D233" s="15">
        <f>IF(OR(B233="",C233=""),"",C233-B233)</f>
        <v/>
      </c>
      <c r="E233" s="14" t="n"/>
      <c r="F233" s="14" t="n"/>
      <c r="G233" s="14" t="n"/>
      <c r="H233" s="14" t="n"/>
      <c r="I233" s="16">
        <f>IF(A233="","",IF(C233&lt;B233,"km Ende &lt; km Beginn",IF(AND(ROW()&gt;5,B233&lt;&gt;"",INDEX($C$5:$C$404,ROW()-5)&lt;&gt;"",B233&lt;&gt;INDEX($C$5:$C$404,ROW()-5)),"LÜCKE im km-Stand",IF(AND(E233="betrieblich",OR(F233="",G233="",H233="")),"Pflichtangabe fehlt","ok"))))</f>
        <v/>
      </c>
    </row>
    <row r="234">
      <c r="A234" s="13" t="n"/>
      <c r="B234" s="14" t="n"/>
      <c r="C234" s="14" t="n"/>
      <c r="D234" s="15">
        <f>IF(OR(B234="",C234=""),"",C234-B234)</f>
        <v/>
      </c>
      <c r="E234" s="14" t="n"/>
      <c r="F234" s="14" t="n"/>
      <c r="G234" s="14" t="n"/>
      <c r="H234" s="14" t="n"/>
      <c r="I234" s="16">
        <f>IF(A234="","",IF(C234&lt;B234,"km Ende &lt; km Beginn",IF(AND(ROW()&gt;5,B234&lt;&gt;"",INDEX($C$5:$C$404,ROW()-5)&lt;&gt;"",B234&lt;&gt;INDEX($C$5:$C$404,ROW()-5)),"LÜCKE im km-Stand",IF(AND(E234="betrieblich",OR(F234="",G234="",H234="")),"Pflichtangabe fehlt","ok"))))</f>
        <v/>
      </c>
    </row>
    <row r="235">
      <c r="A235" s="13" t="n"/>
      <c r="B235" s="14" t="n"/>
      <c r="C235" s="14" t="n"/>
      <c r="D235" s="15">
        <f>IF(OR(B235="",C235=""),"",C235-B235)</f>
        <v/>
      </c>
      <c r="E235" s="14" t="n"/>
      <c r="F235" s="14" t="n"/>
      <c r="G235" s="14" t="n"/>
      <c r="H235" s="14" t="n"/>
      <c r="I235" s="16">
        <f>IF(A235="","",IF(C235&lt;B235,"km Ende &lt; km Beginn",IF(AND(ROW()&gt;5,B235&lt;&gt;"",INDEX($C$5:$C$404,ROW()-5)&lt;&gt;"",B235&lt;&gt;INDEX($C$5:$C$404,ROW()-5)),"LÜCKE im km-Stand",IF(AND(E235="betrieblich",OR(F235="",G235="",H235="")),"Pflichtangabe fehlt","ok"))))</f>
        <v/>
      </c>
    </row>
    <row r="236">
      <c r="A236" s="13" t="n"/>
      <c r="B236" s="14" t="n"/>
      <c r="C236" s="14" t="n"/>
      <c r="D236" s="15">
        <f>IF(OR(B236="",C236=""),"",C236-B236)</f>
        <v/>
      </c>
      <c r="E236" s="14" t="n"/>
      <c r="F236" s="14" t="n"/>
      <c r="G236" s="14" t="n"/>
      <c r="H236" s="14" t="n"/>
      <c r="I236" s="16">
        <f>IF(A236="","",IF(C236&lt;B236,"km Ende &lt; km Beginn",IF(AND(ROW()&gt;5,B236&lt;&gt;"",INDEX($C$5:$C$404,ROW()-5)&lt;&gt;"",B236&lt;&gt;INDEX($C$5:$C$404,ROW()-5)),"LÜCKE im km-Stand",IF(AND(E236="betrieblich",OR(F236="",G236="",H236="")),"Pflichtangabe fehlt","ok"))))</f>
        <v/>
      </c>
    </row>
    <row r="237">
      <c r="A237" s="13" t="n"/>
      <c r="B237" s="14" t="n"/>
      <c r="C237" s="14" t="n"/>
      <c r="D237" s="15">
        <f>IF(OR(B237="",C237=""),"",C237-B237)</f>
        <v/>
      </c>
      <c r="E237" s="14" t="n"/>
      <c r="F237" s="14" t="n"/>
      <c r="G237" s="14" t="n"/>
      <c r="H237" s="14" t="n"/>
      <c r="I237" s="16">
        <f>IF(A237="","",IF(C237&lt;B237,"km Ende &lt; km Beginn",IF(AND(ROW()&gt;5,B237&lt;&gt;"",INDEX($C$5:$C$404,ROW()-5)&lt;&gt;"",B237&lt;&gt;INDEX($C$5:$C$404,ROW()-5)),"LÜCKE im km-Stand",IF(AND(E237="betrieblich",OR(F237="",G237="",H237="")),"Pflichtangabe fehlt","ok"))))</f>
        <v/>
      </c>
    </row>
    <row r="238">
      <c r="A238" s="13" t="n"/>
      <c r="B238" s="14" t="n"/>
      <c r="C238" s="14" t="n"/>
      <c r="D238" s="15">
        <f>IF(OR(B238="",C238=""),"",C238-B238)</f>
        <v/>
      </c>
      <c r="E238" s="14" t="n"/>
      <c r="F238" s="14" t="n"/>
      <c r="G238" s="14" t="n"/>
      <c r="H238" s="14" t="n"/>
      <c r="I238" s="16">
        <f>IF(A238="","",IF(C238&lt;B238,"km Ende &lt; km Beginn",IF(AND(ROW()&gt;5,B238&lt;&gt;"",INDEX($C$5:$C$404,ROW()-5)&lt;&gt;"",B238&lt;&gt;INDEX($C$5:$C$404,ROW()-5)),"LÜCKE im km-Stand",IF(AND(E238="betrieblich",OR(F238="",G238="",H238="")),"Pflichtangabe fehlt","ok"))))</f>
        <v/>
      </c>
    </row>
    <row r="239">
      <c r="A239" s="13" t="n"/>
      <c r="B239" s="14" t="n"/>
      <c r="C239" s="14" t="n"/>
      <c r="D239" s="15">
        <f>IF(OR(B239="",C239=""),"",C239-B239)</f>
        <v/>
      </c>
      <c r="E239" s="14" t="n"/>
      <c r="F239" s="14" t="n"/>
      <c r="G239" s="14" t="n"/>
      <c r="H239" s="14" t="n"/>
      <c r="I239" s="16">
        <f>IF(A239="","",IF(C239&lt;B239,"km Ende &lt; km Beginn",IF(AND(ROW()&gt;5,B239&lt;&gt;"",INDEX($C$5:$C$404,ROW()-5)&lt;&gt;"",B239&lt;&gt;INDEX($C$5:$C$404,ROW()-5)),"LÜCKE im km-Stand",IF(AND(E239="betrieblich",OR(F239="",G239="",H239="")),"Pflichtangabe fehlt","ok"))))</f>
        <v/>
      </c>
    </row>
    <row r="240">
      <c r="A240" s="13" t="n"/>
      <c r="B240" s="14" t="n"/>
      <c r="C240" s="14" t="n"/>
      <c r="D240" s="15">
        <f>IF(OR(B240="",C240=""),"",C240-B240)</f>
        <v/>
      </c>
      <c r="E240" s="14" t="n"/>
      <c r="F240" s="14" t="n"/>
      <c r="G240" s="14" t="n"/>
      <c r="H240" s="14" t="n"/>
      <c r="I240" s="16">
        <f>IF(A240="","",IF(C240&lt;B240,"km Ende &lt; km Beginn",IF(AND(ROW()&gt;5,B240&lt;&gt;"",INDEX($C$5:$C$404,ROW()-5)&lt;&gt;"",B240&lt;&gt;INDEX($C$5:$C$404,ROW()-5)),"LÜCKE im km-Stand",IF(AND(E240="betrieblich",OR(F240="",G240="",H240="")),"Pflichtangabe fehlt","ok"))))</f>
        <v/>
      </c>
    </row>
    <row r="241">
      <c r="A241" s="13" t="n"/>
      <c r="B241" s="14" t="n"/>
      <c r="C241" s="14" t="n"/>
      <c r="D241" s="15">
        <f>IF(OR(B241="",C241=""),"",C241-B241)</f>
        <v/>
      </c>
      <c r="E241" s="14" t="n"/>
      <c r="F241" s="14" t="n"/>
      <c r="G241" s="14" t="n"/>
      <c r="H241" s="14" t="n"/>
      <c r="I241" s="16">
        <f>IF(A241="","",IF(C241&lt;B241,"km Ende &lt; km Beginn",IF(AND(ROW()&gt;5,B241&lt;&gt;"",INDEX($C$5:$C$404,ROW()-5)&lt;&gt;"",B241&lt;&gt;INDEX($C$5:$C$404,ROW()-5)),"LÜCKE im km-Stand",IF(AND(E241="betrieblich",OR(F241="",G241="",H241="")),"Pflichtangabe fehlt","ok"))))</f>
        <v/>
      </c>
    </row>
    <row r="242">
      <c r="A242" s="13" t="n"/>
      <c r="B242" s="14" t="n"/>
      <c r="C242" s="14" t="n"/>
      <c r="D242" s="15">
        <f>IF(OR(B242="",C242=""),"",C242-B242)</f>
        <v/>
      </c>
      <c r="E242" s="14" t="n"/>
      <c r="F242" s="14" t="n"/>
      <c r="G242" s="14" t="n"/>
      <c r="H242" s="14" t="n"/>
      <c r="I242" s="16">
        <f>IF(A242="","",IF(C242&lt;B242,"km Ende &lt; km Beginn",IF(AND(ROW()&gt;5,B242&lt;&gt;"",INDEX($C$5:$C$404,ROW()-5)&lt;&gt;"",B242&lt;&gt;INDEX($C$5:$C$404,ROW()-5)),"LÜCKE im km-Stand",IF(AND(E242="betrieblich",OR(F242="",G242="",H242="")),"Pflichtangabe fehlt","ok"))))</f>
        <v/>
      </c>
    </row>
    <row r="243">
      <c r="A243" s="13" t="n"/>
      <c r="B243" s="14" t="n"/>
      <c r="C243" s="14" t="n"/>
      <c r="D243" s="15">
        <f>IF(OR(B243="",C243=""),"",C243-B243)</f>
        <v/>
      </c>
      <c r="E243" s="14" t="n"/>
      <c r="F243" s="14" t="n"/>
      <c r="G243" s="14" t="n"/>
      <c r="H243" s="14" t="n"/>
      <c r="I243" s="16">
        <f>IF(A243="","",IF(C243&lt;B243,"km Ende &lt; km Beginn",IF(AND(ROW()&gt;5,B243&lt;&gt;"",INDEX($C$5:$C$404,ROW()-5)&lt;&gt;"",B243&lt;&gt;INDEX($C$5:$C$404,ROW()-5)),"LÜCKE im km-Stand",IF(AND(E243="betrieblich",OR(F243="",G243="",H243="")),"Pflichtangabe fehlt","ok"))))</f>
        <v/>
      </c>
    </row>
    <row r="244">
      <c r="A244" s="13" t="n"/>
      <c r="B244" s="14" t="n"/>
      <c r="C244" s="14" t="n"/>
      <c r="D244" s="15">
        <f>IF(OR(B244="",C244=""),"",C244-B244)</f>
        <v/>
      </c>
      <c r="E244" s="14" t="n"/>
      <c r="F244" s="14" t="n"/>
      <c r="G244" s="14" t="n"/>
      <c r="H244" s="14" t="n"/>
      <c r="I244" s="16">
        <f>IF(A244="","",IF(C244&lt;B244,"km Ende &lt; km Beginn",IF(AND(ROW()&gt;5,B244&lt;&gt;"",INDEX($C$5:$C$404,ROW()-5)&lt;&gt;"",B244&lt;&gt;INDEX($C$5:$C$404,ROW()-5)),"LÜCKE im km-Stand",IF(AND(E244="betrieblich",OR(F244="",G244="",H244="")),"Pflichtangabe fehlt","ok"))))</f>
        <v/>
      </c>
    </row>
    <row r="245">
      <c r="A245" s="13" t="n"/>
      <c r="B245" s="14" t="n"/>
      <c r="C245" s="14" t="n"/>
      <c r="D245" s="15">
        <f>IF(OR(B245="",C245=""),"",C245-B245)</f>
        <v/>
      </c>
      <c r="E245" s="14" t="n"/>
      <c r="F245" s="14" t="n"/>
      <c r="G245" s="14" t="n"/>
      <c r="H245" s="14" t="n"/>
      <c r="I245" s="16">
        <f>IF(A245="","",IF(C245&lt;B245,"km Ende &lt; km Beginn",IF(AND(ROW()&gt;5,B245&lt;&gt;"",INDEX($C$5:$C$404,ROW()-5)&lt;&gt;"",B245&lt;&gt;INDEX($C$5:$C$404,ROW()-5)),"LÜCKE im km-Stand",IF(AND(E245="betrieblich",OR(F245="",G245="",H245="")),"Pflichtangabe fehlt","ok"))))</f>
        <v/>
      </c>
    </row>
    <row r="246">
      <c r="A246" s="13" t="n"/>
      <c r="B246" s="14" t="n"/>
      <c r="C246" s="14" t="n"/>
      <c r="D246" s="15">
        <f>IF(OR(B246="",C246=""),"",C246-B246)</f>
        <v/>
      </c>
      <c r="E246" s="14" t="n"/>
      <c r="F246" s="14" t="n"/>
      <c r="G246" s="14" t="n"/>
      <c r="H246" s="14" t="n"/>
      <c r="I246" s="16">
        <f>IF(A246="","",IF(C246&lt;B246,"km Ende &lt; km Beginn",IF(AND(ROW()&gt;5,B246&lt;&gt;"",INDEX($C$5:$C$404,ROW()-5)&lt;&gt;"",B246&lt;&gt;INDEX($C$5:$C$404,ROW()-5)),"LÜCKE im km-Stand",IF(AND(E246="betrieblich",OR(F246="",G246="",H246="")),"Pflichtangabe fehlt","ok"))))</f>
        <v/>
      </c>
    </row>
    <row r="247">
      <c r="A247" s="13" t="n"/>
      <c r="B247" s="14" t="n"/>
      <c r="C247" s="14" t="n"/>
      <c r="D247" s="15">
        <f>IF(OR(B247="",C247=""),"",C247-B247)</f>
        <v/>
      </c>
      <c r="E247" s="14" t="n"/>
      <c r="F247" s="14" t="n"/>
      <c r="G247" s="14" t="n"/>
      <c r="H247" s="14" t="n"/>
      <c r="I247" s="16">
        <f>IF(A247="","",IF(C247&lt;B247,"km Ende &lt; km Beginn",IF(AND(ROW()&gt;5,B247&lt;&gt;"",INDEX($C$5:$C$404,ROW()-5)&lt;&gt;"",B247&lt;&gt;INDEX($C$5:$C$404,ROW()-5)),"LÜCKE im km-Stand",IF(AND(E247="betrieblich",OR(F247="",G247="",H247="")),"Pflichtangabe fehlt","ok"))))</f>
        <v/>
      </c>
    </row>
    <row r="248">
      <c r="A248" s="13" t="n"/>
      <c r="B248" s="14" t="n"/>
      <c r="C248" s="14" t="n"/>
      <c r="D248" s="15">
        <f>IF(OR(B248="",C248=""),"",C248-B248)</f>
        <v/>
      </c>
      <c r="E248" s="14" t="n"/>
      <c r="F248" s="14" t="n"/>
      <c r="G248" s="14" t="n"/>
      <c r="H248" s="14" t="n"/>
      <c r="I248" s="16">
        <f>IF(A248="","",IF(C248&lt;B248,"km Ende &lt; km Beginn",IF(AND(ROW()&gt;5,B248&lt;&gt;"",INDEX($C$5:$C$404,ROW()-5)&lt;&gt;"",B248&lt;&gt;INDEX($C$5:$C$404,ROW()-5)),"LÜCKE im km-Stand",IF(AND(E248="betrieblich",OR(F248="",G248="",H248="")),"Pflichtangabe fehlt","ok"))))</f>
        <v/>
      </c>
    </row>
    <row r="249">
      <c r="A249" s="13" t="n"/>
      <c r="B249" s="14" t="n"/>
      <c r="C249" s="14" t="n"/>
      <c r="D249" s="15">
        <f>IF(OR(B249="",C249=""),"",C249-B249)</f>
        <v/>
      </c>
      <c r="E249" s="14" t="n"/>
      <c r="F249" s="14" t="n"/>
      <c r="G249" s="14" t="n"/>
      <c r="H249" s="14" t="n"/>
      <c r="I249" s="16">
        <f>IF(A249="","",IF(C249&lt;B249,"km Ende &lt; km Beginn",IF(AND(ROW()&gt;5,B249&lt;&gt;"",INDEX($C$5:$C$404,ROW()-5)&lt;&gt;"",B249&lt;&gt;INDEX($C$5:$C$404,ROW()-5)),"LÜCKE im km-Stand",IF(AND(E249="betrieblich",OR(F249="",G249="",H249="")),"Pflichtangabe fehlt","ok"))))</f>
        <v/>
      </c>
    </row>
    <row r="250">
      <c r="A250" s="13" t="n"/>
      <c r="B250" s="14" t="n"/>
      <c r="C250" s="14" t="n"/>
      <c r="D250" s="15">
        <f>IF(OR(B250="",C250=""),"",C250-B250)</f>
        <v/>
      </c>
      <c r="E250" s="14" t="n"/>
      <c r="F250" s="14" t="n"/>
      <c r="G250" s="14" t="n"/>
      <c r="H250" s="14" t="n"/>
      <c r="I250" s="16">
        <f>IF(A250="","",IF(C250&lt;B250,"km Ende &lt; km Beginn",IF(AND(ROW()&gt;5,B250&lt;&gt;"",INDEX($C$5:$C$404,ROW()-5)&lt;&gt;"",B250&lt;&gt;INDEX($C$5:$C$404,ROW()-5)),"LÜCKE im km-Stand",IF(AND(E250="betrieblich",OR(F250="",G250="",H250="")),"Pflichtangabe fehlt","ok"))))</f>
        <v/>
      </c>
    </row>
    <row r="251">
      <c r="A251" s="13" t="n"/>
      <c r="B251" s="14" t="n"/>
      <c r="C251" s="14" t="n"/>
      <c r="D251" s="15">
        <f>IF(OR(B251="",C251=""),"",C251-B251)</f>
        <v/>
      </c>
      <c r="E251" s="14" t="n"/>
      <c r="F251" s="14" t="n"/>
      <c r="G251" s="14" t="n"/>
      <c r="H251" s="14" t="n"/>
      <c r="I251" s="16">
        <f>IF(A251="","",IF(C251&lt;B251,"km Ende &lt; km Beginn",IF(AND(ROW()&gt;5,B251&lt;&gt;"",INDEX($C$5:$C$404,ROW()-5)&lt;&gt;"",B251&lt;&gt;INDEX($C$5:$C$404,ROW()-5)),"LÜCKE im km-Stand",IF(AND(E251="betrieblich",OR(F251="",G251="",H251="")),"Pflichtangabe fehlt","ok"))))</f>
        <v/>
      </c>
    </row>
    <row r="252">
      <c r="A252" s="13" t="n"/>
      <c r="B252" s="14" t="n"/>
      <c r="C252" s="14" t="n"/>
      <c r="D252" s="15">
        <f>IF(OR(B252="",C252=""),"",C252-B252)</f>
        <v/>
      </c>
      <c r="E252" s="14" t="n"/>
      <c r="F252" s="14" t="n"/>
      <c r="G252" s="14" t="n"/>
      <c r="H252" s="14" t="n"/>
      <c r="I252" s="16">
        <f>IF(A252="","",IF(C252&lt;B252,"km Ende &lt; km Beginn",IF(AND(ROW()&gt;5,B252&lt;&gt;"",INDEX($C$5:$C$404,ROW()-5)&lt;&gt;"",B252&lt;&gt;INDEX($C$5:$C$404,ROW()-5)),"LÜCKE im km-Stand",IF(AND(E252="betrieblich",OR(F252="",G252="",H252="")),"Pflichtangabe fehlt","ok"))))</f>
        <v/>
      </c>
    </row>
    <row r="253">
      <c r="A253" s="13" t="n"/>
      <c r="B253" s="14" t="n"/>
      <c r="C253" s="14" t="n"/>
      <c r="D253" s="15">
        <f>IF(OR(B253="",C253=""),"",C253-B253)</f>
        <v/>
      </c>
      <c r="E253" s="14" t="n"/>
      <c r="F253" s="14" t="n"/>
      <c r="G253" s="14" t="n"/>
      <c r="H253" s="14" t="n"/>
      <c r="I253" s="16">
        <f>IF(A253="","",IF(C253&lt;B253,"km Ende &lt; km Beginn",IF(AND(ROW()&gt;5,B253&lt;&gt;"",INDEX($C$5:$C$404,ROW()-5)&lt;&gt;"",B253&lt;&gt;INDEX($C$5:$C$404,ROW()-5)),"LÜCKE im km-Stand",IF(AND(E253="betrieblich",OR(F253="",G253="",H253="")),"Pflichtangabe fehlt","ok"))))</f>
        <v/>
      </c>
    </row>
    <row r="254">
      <c r="A254" s="13" t="n"/>
      <c r="B254" s="14" t="n"/>
      <c r="C254" s="14" t="n"/>
      <c r="D254" s="15">
        <f>IF(OR(B254="",C254=""),"",C254-B254)</f>
        <v/>
      </c>
      <c r="E254" s="14" t="n"/>
      <c r="F254" s="14" t="n"/>
      <c r="G254" s="14" t="n"/>
      <c r="H254" s="14" t="n"/>
      <c r="I254" s="16">
        <f>IF(A254="","",IF(C254&lt;B254,"km Ende &lt; km Beginn",IF(AND(ROW()&gt;5,B254&lt;&gt;"",INDEX($C$5:$C$404,ROW()-5)&lt;&gt;"",B254&lt;&gt;INDEX($C$5:$C$404,ROW()-5)),"LÜCKE im km-Stand",IF(AND(E254="betrieblich",OR(F254="",G254="",H254="")),"Pflichtangabe fehlt","ok"))))</f>
        <v/>
      </c>
    </row>
    <row r="255">
      <c r="A255" s="13" t="n"/>
      <c r="B255" s="14" t="n"/>
      <c r="C255" s="14" t="n"/>
      <c r="D255" s="15">
        <f>IF(OR(B255="",C255=""),"",C255-B255)</f>
        <v/>
      </c>
      <c r="E255" s="14" t="n"/>
      <c r="F255" s="14" t="n"/>
      <c r="G255" s="14" t="n"/>
      <c r="H255" s="14" t="n"/>
      <c r="I255" s="16">
        <f>IF(A255="","",IF(C255&lt;B255,"km Ende &lt; km Beginn",IF(AND(ROW()&gt;5,B255&lt;&gt;"",INDEX($C$5:$C$404,ROW()-5)&lt;&gt;"",B255&lt;&gt;INDEX($C$5:$C$404,ROW()-5)),"LÜCKE im km-Stand",IF(AND(E255="betrieblich",OR(F255="",G255="",H255="")),"Pflichtangabe fehlt","ok"))))</f>
        <v/>
      </c>
    </row>
    <row r="256">
      <c r="A256" s="13" t="n"/>
      <c r="B256" s="14" t="n"/>
      <c r="C256" s="14" t="n"/>
      <c r="D256" s="15">
        <f>IF(OR(B256="",C256=""),"",C256-B256)</f>
        <v/>
      </c>
      <c r="E256" s="14" t="n"/>
      <c r="F256" s="14" t="n"/>
      <c r="G256" s="14" t="n"/>
      <c r="H256" s="14" t="n"/>
      <c r="I256" s="16">
        <f>IF(A256="","",IF(C256&lt;B256,"km Ende &lt; km Beginn",IF(AND(ROW()&gt;5,B256&lt;&gt;"",INDEX($C$5:$C$404,ROW()-5)&lt;&gt;"",B256&lt;&gt;INDEX($C$5:$C$404,ROW()-5)),"LÜCKE im km-Stand",IF(AND(E256="betrieblich",OR(F256="",G256="",H256="")),"Pflichtangabe fehlt","ok"))))</f>
        <v/>
      </c>
    </row>
    <row r="257">
      <c r="A257" s="13" t="n"/>
      <c r="B257" s="14" t="n"/>
      <c r="C257" s="14" t="n"/>
      <c r="D257" s="15">
        <f>IF(OR(B257="",C257=""),"",C257-B257)</f>
        <v/>
      </c>
      <c r="E257" s="14" t="n"/>
      <c r="F257" s="14" t="n"/>
      <c r="G257" s="14" t="n"/>
      <c r="H257" s="14" t="n"/>
      <c r="I257" s="16">
        <f>IF(A257="","",IF(C257&lt;B257,"km Ende &lt; km Beginn",IF(AND(ROW()&gt;5,B257&lt;&gt;"",INDEX($C$5:$C$404,ROW()-5)&lt;&gt;"",B257&lt;&gt;INDEX($C$5:$C$404,ROW()-5)),"LÜCKE im km-Stand",IF(AND(E257="betrieblich",OR(F257="",G257="",H257="")),"Pflichtangabe fehlt","ok"))))</f>
        <v/>
      </c>
    </row>
    <row r="258">
      <c r="A258" s="13" t="n"/>
      <c r="B258" s="14" t="n"/>
      <c r="C258" s="14" t="n"/>
      <c r="D258" s="15">
        <f>IF(OR(B258="",C258=""),"",C258-B258)</f>
        <v/>
      </c>
      <c r="E258" s="14" t="n"/>
      <c r="F258" s="14" t="n"/>
      <c r="G258" s="14" t="n"/>
      <c r="H258" s="14" t="n"/>
      <c r="I258" s="16">
        <f>IF(A258="","",IF(C258&lt;B258,"km Ende &lt; km Beginn",IF(AND(ROW()&gt;5,B258&lt;&gt;"",INDEX($C$5:$C$404,ROW()-5)&lt;&gt;"",B258&lt;&gt;INDEX($C$5:$C$404,ROW()-5)),"LÜCKE im km-Stand",IF(AND(E258="betrieblich",OR(F258="",G258="",H258="")),"Pflichtangabe fehlt","ok"))))</f>
        <v/>
      </c>
    </row>
    <row r="259">
      <c r="A259" s="13" t="n"/>
      <c r="B259" s="14" t="n"/>
      <c r="C259" s="14" t="n"/>
      <c r="D259" s="15">
        <f>IF(OR(B259="",C259=""),"",C259-B259)</f>
        <v/>
      </c>
      <c r="E259" s="14" t="n"/>
      <c r="F259" s="14" t="n"/>
      <c r="G259" s="14" t="n"/>
      <c r="H259" s="14" t="n"/>
      <c r="I259" s="16">
        <f>IF(A259="","",IF(C259&lt;B259,"km Ende &lt; km Beginn",IF(AND(ROW()&gt;5,B259&lt;&gt;"",INDEX($C$5:$C$404,ROW()-5)&lt;&gt;"",B259&lt;&gt;INDEX($C$5:$C$404,ROW()-5)),"LÜCKE im km-Stand",IF(AND(E259="betrieblich",OR(F259="",G259="",H259="")),"Pflichtangabe fehlt","ok"))))</f>
        <v/>
      </c>
    </row>
    <row r="260">
      <c r="A260" s="13" t="n"/>
      <c r="B260" s="14" t="n"/>
      <c r="C260" s="14" t="n"/>
      <c r="D260" s="15">
        <f>IF(OR(B260="",C260=""),"",C260-B260)</f>
        <v/>
      </c>
      <c r="E260" s="14" t="n"/>
      <c r="F260" s="14" t="n"/>
      <c r="G260" s="14" t="n"/>
      <c r="H260" s="14" t="n"/>
      <c r="I260" s="16">
        <f>IF(A260="","",IF(C260&lt;B260,"km Ende &lt; km Beginn",IF(AND(ROW()&gt;5,B260&lt;&gt;"",INDEX($C$5:$C$404,ROW()-5)&lt;&gt;"",B260&lt;&gt;INDEX($C$5:$C$404,ROW()-5)),"LÜCKE im km-Stand",IF(AND(E260="betrieblich",OR(F260="",G260="",H260="")),"Pflichtangabe fehlt","ok"))))</f>
        <v/>
      </c>
    </row>
    <row r="261">
      <c r="A261" s="13" t="n"/>
      <c r="B261" s="14" t="n"/>
      <c r="C261" s="14" t="n"/>
      <c r="D261" s="15">
        <f>IF(OR(B261="",C261=""),"",C261-B261)</f>
        <v/>
      </c>
      <c r="E261" s="14" t="n"/>
      <c r="F261" s="14" t="n"/>
      <c r="G261" s="14" t="n"/>
      <c r="H261" s="14" t="n"/>
      <c r="I261" s="16">
        <f>IF(A261="","",IF(C261&lt;B261,"km Ende &lt; km Beginn",IF(AND(ROW()&gt;5,B261&lt;&gt;"",INDEX($C$5:$C$404,ROW()-5)&lt;&gt;"",B261&lt;&gt;INDEX($C$5:$C$404,ROW()-5)),"LÜCKE im km-Stand",IF(AND(E261="betrieblich",OR(F261="",G261="",H261="")),"Pflichtangabe fehlt","ok"))))</f>
        <v/>
      </c>
    </row>
    <row r="262">
      <c r="A262" s="13" t="n"/>
      <c r="B262" s="14" t="n"/>
      <c r="C262" s="14" t="n"/>
      <c r="D262" s="15">
        <f>IF(OR(B262="",C262=""),"",C262-B262)</f>
        <v/>
      </c>
      <c r="E262" s="14" t="n"/>
      <c r="F262" s="14" t="n"/>
      <c r="G262" s="14" t="n"/>
      <c r="H262" s="14" t="n"/>
      <c r="I262" s="16">
        <f>IF(A262="","",IF(C262&lt;B262,"km Ende &lt; km Beginn",IF(AND(ROW()&gt;5,B262&lt;&gt;"",INDEX($C$5:$C$404,ROW()-5)&lt;&gt;"",B262&lt;&gt;INDEX($C$5:$C$404,ROW()-5)),"LÜCKE im km-Stand",IF(AND(E262="betrieblich",OR(F262="",G262="",H262="")),"Pflichtangabe fehlt","ok"))))</f>
        <v/>
      </c>
    </row>
    <row r="263">
      <c r="A263" s="13" t="n"/>
      <c r="B263" s="14" t="n"/>
      <c r="C263" s="14" t="n"/>
      <c r="D263" s="15">
        <f>IF(OR(B263="",C263=""),"",C263-B263)</f>
        <v/>
      </c>
      <c r="E263" s="14" t="n"/>
      <c r="F263" s="14" t="n"/>
      <c r="G263" s="14" t="n"/>
      <c r="H263" s="14" t="n"/>
      <c r="I263" s="16">
        <f>IF(A263="","",IF(C263&lt;B263,"km Ende &lt; km Beginn",IF(AND(ROW()&gt;5,B263&lt;&gt;"",INDEX($C$5:$C$404,ROW()-5)&lt;&gt;"",B263&lt;&gt;INDEX($C$5:$C$404,ROW()-5)),"LÜCKE im km-Stand",IF(AND(E263="betrieblich",OR(F263="",G263="",H263="")),"Pflichtangabe fehlt","ok"))))</f>
        <v/>
      </c>
    </row>
    <row r="264">
      <c r="A264" s="13" t="n"/>
      <c r="B264" s="14" t="n"/>
      <c r="C264" s="14" t="n"/>
      <c r="D264" s="15">
        <f>IF(OR(B264="",C264=""),"",C264-B264)</f>
        <v/>
      </c>
      <c r="E264" s="14" t="n"/>
      <c r="F264" s="14" t="n"/>
      <c r="G264" s="14" t="n"/>
      <c r="H264" s="14" t="n"/>
      <c r="I264" s="16">
        <f>IF(A264="","",IF(C264&lt;B264,"km Ende &lt; km Beginn",IF(AND(ROW()&gt;5,B264&lt;&gt;"",INDEX($C$5:$C$404,ROW()-5)&lt;&gt;"",B264&lt;&gt;INDEX($C$5:$C$404,ROW()-5)),"LÜCKE im km-Stand",IF(AND(E264="betrieblich",OR(F264="",G264="",H264="")),"Pflichtangabe fehlt","ok"))))</f>
        <v/>
      </c>
    </row>
    <row r="265">
      <c r="A265" s="13" t="n"/>
      <c r="B265" s="14" t="n"/>
      <c r="C265" s="14" t="n"/>
      <c r="D265" s="15">
        <f>IF(OR(B265="",C265=""),"",C265-B265)</f>
        <v/>
      </c>
      <c r="E265" s="14" t="n"/>
      <c r="F265" s="14" t="n"/>
      <c r="G265" s="14" t="n"/>
      <c r="H265" s="14" t="n"/>
      <c r="I265" s="16">
        <f>IF(A265="","",IF(C265&lt;B265,"km Ende &lt; km Beginn",IF(AND(ROW()&gt;5,B265&lt;&gt;"",INDEX($C$5:$C$404,ROW()-5)&lt;&gt;"",B265&lt;&gt;INDEX($C$5:$C$404,ROW()-5)),"LÜCKE im km-Stand",IF(AND(E265="betrieblich",OR(F265="",G265="",H265="")),"Pflichtangabe fehlt","ok"))))</f>
        <v/>
      </c>
    </row>
    <row r="266">
      <c r="A266" s="13" t="n"/>
      <c r="B266" s="14" t="n"/>
      <c r="C266" s="14" t="n"/>
      <c r="D266" s="15">
        <f>IF(OR(B266="",C266=""),"",C266-B266)</f>
        <v/>
      </c>
      <c r="E266" s="14" t="n"/>
      <c r="F266" s="14" t="n"/>
      <c r="G266" s="14" t="n"/>
      <c r="H266" s="14" t="n"/>
      <c r="I266" s="16">
        <f>IF(A266="","",IF(C266&lt;B266,"km Ende &lt; km Beginn",IF(AND(ROW()&gt;5,B266&lt;&gt;"",INDEX($C$5:$C$404,ROW()-5)&lt;&gt;"",B266&lt;&gt;INDEX($C$5:$C$404,ROW()-5)),"LÜCKE im km-Stand",IF(AND(E266="betrieblich",OR(F266="",G266="",H266="")),"Pflichtangabe fehlt","ok"))))</f>
        <v/>
      </c>
    </row>
    <row r="267">
      <c r="A267" s="13" t="n"/>
      <c r="B267" s="14" t="n"/>
      <c r="C267" s="14" t="n"/>
      <c r="D267" s="15">
        <f>IF(OR(B267="",C267=""),"",C267-B267)</f>
        <v/>
      </c>
      <c r="E267" s="14" t="n"/>
      <c r="F267" s="14" t="n"/>
      <c r="G267" s="14" t="n"/>
      <c r="H267" s="14" t="n"/>
      <c r="I267" s="16">
        <f>IF(A267="","",IF(C267&lt;B267,"km Ende &lt; km Beginn",IF(AND(ROW()&gt;5,B267&lt;&gt;"",INDEX($C$5:$C$404,ROW()-5)&lt;&gt;"",B267&lt;&gt;INDEX($C$5:$C$404,ROW()-5)),"LÜCKE im km-Stand",IF(AND(E267="betrieblich",OR(F267="",G267="",H267="")),"Pflichtangabe fehlt","ok"))))</f>
        <v/>
      </c>
    </row>
    <row r="268">
      <c r="A268" s="13" t="n"/>
      <c r="B268" s="14" t="n"/>
      <c r="C268" s="14" t="n"/>
      <c r="D268" s="15">
        <f>IF(OR(B268="",C268=""),"",C268-B268)</f>
        <v/>
      </c>
      <c r="E268" s="14" t="n"/>
      <c r="F268" s="14" t="n"/>
      <c r="G268" s="14" t="n"/>
      <c r="H268" s="14" t="n"/>
      <c r="I268" s="16">
        <f>IF(A268="","",IF(C268&lt;B268,"km Ende &lt; km Beginn",IF(AND(ROW()&gt;5,B268&lt;&gt;"",INDEX($C$5:$C$404,ROW()-5)&lt;&gt;"",B268&lt;&gt;INDEX($C$5:$C$404,ROW()-5)),"LÜCKE im km-Stand",IF(AND(E268="betrieblich",OR(F268="",G268="",H268="")),"Pflichtangabe fehlt","ok"))))</f>
        <v/>
      </c>
    </row>
    <row r="269">
      <c r="A269" s="13" t="n"/>
      <c r="B269" s="14" t="n"/>
      <c r="C269" s="14" t="n"/>
      <c r="D269" s="15">
        <f>IF(OR(B269="",C269=""),"",C269-B269)</f>
        <v/>
      </c>
      <c r="E269" s="14" t="n"/>
      <c r="F269" s="14" t="n"/>
      <c r="G269" s="14" t="n"/>
      <c r="H269" s="14" t="n"/>
      <c r="I269" s="16">
        <f>IF(A269="","",IF(C269&lt;B269,"km Ende &lt; km Beginn",IF(AND(ROW()&gt;5,B269&lt;&gt;"",INDEX($C$5:$C$404,ROW()-5)&lt;&gt;"",B269&lt;&gt;INDEX($C$5:$C$404,ROW()-5)),"LÜCKE im km-Stand",IF(AND(E269="betrieblich",OR(F269="",G269="",H269="")),"Pflichtangabe fehlt","ok"))))</f>
        <v/>
      </c>
    </row>
    <row r="270">
      <c r="A270" s="13" t="n"/>
      <c r="B270" s="14" t="n"/>
      <c r="C270" s="14" t="n"/>
      <c r="D270" s="15">
        <f>IF(OR(B270="",C270=""),"",C270-B270)</f>
        <v/>
      </c>
      <c r="E270" s="14" t="n"/>
      <c r="F270" s="14" t="n"/>
      <c r="G270" s="14" t="n"/>
      <c r="H270" s="14" t="n"/>
      <c r="I270" s="16">
        <f>IF(A270="","",IF(C270&lt;B270,"km Ende &lt; km Beginn",IF(AND(ROW()&gt;5,B270&lt;&gt;"",INDEX($C$5:$C$404,ROW()-5)&lt;&gt;"",B270&lt;&gt;INDEX($C$5:$C$404,ROW()-5)),"LÜCKE im km-Stand",IF(AND(E270="betrieblich",OR(F270="",G270="",H270="")),"Pflichtangabe fehlt","ok"))))</f>
        <v/>
      </c>
    </row>
    <row r="271">
      <c r="A271" s="13" t="n"/>
      <c r="B271" s="14" t="n"/>
      <c r="C271" s="14" t="n"/>
      <c r="D271" s="15">
        <f>IF(OR(B271="",C271=""),"",C271-B271)</f>
        <v/>
      </c>
      <c r="E271" s="14" t="n"/>
      <c r="F271" s="14" t="n"/>
      <c r="G271" s="14" t="n"/>
      <c r="H271" s="14" t="n"/>
      <c r="I271" s="16">
        <f>IF(A271="","",IF(C271&lt;B271,"km Ende &lt; km Beginn",IF(AND(ROW()&gt;5,B271&lt;&gt;"",INDEX($C$5:$C$404,ROW()-5)&lt;&gt;"",B271&lt;&gt;INDEX($C$5:$C$404,ROW()-5)),"LÜCKE im km-Stand",IF(AND(E271="betrieblich",OR(F271="",G271="",H271="")),"Pflichtangabe fehlt","ok"))))</f>
        <v/>
      </c>
    </row>
    <row r="272">
      <c r="A272" s="13" t="n"/>
      <c r="B272" s="14" t="n"/>
      <c r="C272" s="14" t="n"/>
      <c r="D272" s="15">
        <f>IF(OR(B272="",C272=""),"",C272-B272)</f>
        <v/>
      </c>
      <c r="E272" s="14" t="n"/>
      <c r="F272" s="14" t="n"/>
      <c r="G272" s="14" t="n"/>
      <c r="H272" s="14" t="n"/>
      <c r="I272" s="16">
        <f>IF(A272="","",IF(C272&lt;B272,"km Ende &lt; km Beginn",IF(AND(ROW()&gt;5,B272&lt;&gt;"",INDEX($C$5:$C$404,ROW()-5)&lt;&gt;"",B272&lt;&gt;INDEX($C$5:$C$404,ROW()-5)),"LÜCKE im km-Stand",IF(AND(E272="betrieblich",OR(F272="",G272="",H272="")),"Pflichtangabe fehlt","ok"))))</f>
        <v/>
      </c>
    </row>
    <row r="273">
      <c r="A273" s="13" t="n"/>
      <c r="B273" s="14" t="n"/>
      <c r="C273" s="14" t="n"/>
      <c r="D273" s="15">
        <f>IF(OR(B273="",C273=""),"",C273-B273)</f>
        <v/>
      </c>
      <c r="E273" s="14" t="n"/>
      <c r="F273" s="14" t="n"/>
      <c r="G273" s="14" t="n"/>
      <c r="H273" s="14" t="n"/>
      <c r="I273" s="16">
        <f>IF(A273="","",IF(C273&lt;B273,"km Ende &lt; km Beginn",IF(AND(ROW()&gt;5,B273&lt;&gt;"",INDEX($C$5:$C$404,ROW()-5)&lt;&gt;"",B273&lt;&gt;INDEX($C$5:$C$404,ROW()-5)),"LÜCKE im km-Stand",IF(AND(E273="betrieblich",OR(F273="",G273="",H273="")),"Pflichtangabe fehlt","ok"))))</f>
        <v/>
      </c>
    </row>
    <row r="274">
      <c r="A274" s="13" t="n"/>
      <c r="B274" s="14" t="n"/>
      <c r="C274" s="14" t="n"/>
      <c r="D274" s="15">
        <f>IF(OR(B274="",C274=""),"",C274-B274)</f>
        <v/>
      </c>
      <c r="E274" s="14" t="n"/>
      <c r="F274" s="14" t="n"/>
      <c r="G274" s="14" t="n"/>
      <c r="H274" s="14" t="n"/>
      <c r="I274" s="16">
        <f>IF(A274="","",IF(C274&lt;B274,"km Ende &lt; km Beginn",IF(AND(ROW()&gt;5,B274&lt;&gt;"",INDEX($C$5:$C$404,ROW()-5)&lt;&gt;"",B274&lt;&gt;INDEX($C$5:$C$404,ROW()-5)),"LÜCKE im km-Stand",IF(AND(E274="betrieblich",OR(F274="",G274="",H274="")),"Pflichtangabe fehlt","ok"))))</f>
        <v/>
      </c>
    </row>
    <row r="275">
      <c r="A275" s="13" t="n"/>
      <c r="B275" s="14" t="n"/>
      <c r="C275" s="14" t="n"/>
      <c r="D275" s="15">
        <f>IF(OR(B275="",C275=""),"",C275-B275)</f>
        <v/>
      </c>
      <c r="E275" s="14" t="n"/>
      <c r="F275" s="14" t="n"/>
      <c r="G275" s="14" t="n"/>
      <c r="H275" s="14" t="n"/>
      <c r="I275" s="16">
        <f>IF(A275="","",IF(C275&lt;B275,"km Ende &lt; km Beginn",IF(AND(ROW()&gt;5,B275&lt;&gt;"",INDEX($C$5:$C$404,ROW()-5)&lt;&gt;"",B275&lt;&gt;INDEX($C$5:$C$404,ROW()-5)),"LÜCKE im km-Stand",IF(AND(E275="betrieblich",OR(F275="",G275="",H275="")),"Pflichtangabe fehlt","ok"))))</f>
        <v/>
      </c>
    </row>
    <row r="276">
      <c r="A276" s="13" t="n"/>
      <c r="B276" s="14" t="n"/>
      <c r="C276" s="14" t="n"/>
      <c r="D276" s="15">
        <f>IF(OR(B276="",C276=""),"",C276-B276)</f>
        <v/>
      </c>
      <c r="E276" s="14" t="n"/>
      <c r="F276" s="14" t="n"/>
      <c r="G276" s="14" t="n"/>
      <c r="H276" s="14" t="n"/>
      <c r="I276" s="16">
        <f>IF(A276="","",IF(C276&lt;B276,"km Ende &lt; km Beginn",IF(AND(ROW()&gt;5,B276&lt;&gt;"",INDEX($C$5:$C$404,ROW()-5)&lt;&gt;"",B276&lt;&gt;INDEX($C$5:$C$404,ROW()-5)),"LÜCKE im km-Stand",IF(AND(E276="betrieblich",OR(F276="",G276="",H276="")),"Pflichtangabe fehlt","ok"))))</f>
        <v/>
      </c>
    </row>
    <row r="277">
      <c r="A277" s="13" t="n"/>
      <c r="B277" s="14" t="n"/>
      <c r="C277" s="14" t="n"/>
      <c r="D277" s="15">
        <f>IF(OR(B277="",C277=""),"",C277-B277)</f>
        <v/>
      </c>
      <c r="E277" s="14" t="n"/>
      <c r="F277" s="14" t="n"/>
      <c r="G277" s="14" t="n"/>
      <c r="H277" s="14" t="n"/>
      <c r="I277" s="16">
        <f>IF(A277="","",IF(C277&lt;B277,"km Ende &lt; km Beginn",IF(AND(ROW()&gt;5,B277&lt;&gt;"",INDEX($C$5:$C$404,ROW()-5)&lt;&gt;"",B277&lt;&gt;INDEX($C$5:$C$404,ROW()-5)),"LÜCKE im km-Stand",IF(AND(E277="betrieblich",OR(F277="",G277="",H277="")),"Pflichtangabe fehlt","ok"))))</f>
        <v/>
      </c>
    </row>
    <row r="278">
      <c r="A278" s="13" t="n"/>
      <c r="B278" s="14" t="n"/>
      <c r="C278" s="14" t="n"/>
      <c r="D278" s="15">
        <f>IF(OR(B278="",C278=""),"",C278-B278)</f>
        <v/>
      </c>
      <c r="E278" s="14" t="n"/>
      <c r="F278" s="14" t="n"/>
      <c r="G278" s="14" t="n"/>
      <c r="H278" s="14" t="n"/>
      <c r="I278" s="16">
        <f>IF(A278="","",IF(C278&lt;B278,"km Ende &lt; km Beginn",IF(AND(ROW()&gt;5,B278&lt;&gt;"",INDEX($C$5:$C$404,ROW()-5)&lt;&gt;"",B278&lt;&gt;INDEX($C$5:$C$404,ROW()-5)),"LÜCKE im km-Stand",IF(AND(E278="betrieblich",OR(F278="",G278="",H278="")),"Pflichtangabe fehlt","ok"))))</f>
        <v/>
      </c>
    </row>
    <row r="279">
      <c r="A279" s="13" t="n"/>
      <c r="B279" s="14" t="n"/>
      <c r="C279" s="14" t="n"/>
      <c r="D279" s="15">
        <f>IF(OR(B279="",C279=""),"",C279-B279)</f>
        <v/>
      </c>
      <c r="E279" s="14" t="n"/>
      <c r="F279" s="14" t="n"/>
      <c r="G279" s="14" t="n"/>
      <c r="H279" s="14" t="n"/>
      <c r="I279" s="16">
        <f>IF(A279="","",IF(C279&lt;B279,"km Ende &lt; km Beginn",IF(AND(ROW()&gt;5,B279&lt;&gt;"",INDEX($C$5:$C$404,ROW()-5)&lt;&gt;"",B279&lt;&gt;INDEX($C$5:$C$404,ROW()-5)),"LÜCKE im km-Stand",IF(AND(E279="betrieblich",OR(F279="",G279="",H279="")),"Pflichtangabe fehlt","ok"))))</f>
        <v/>
      </c>
    </row>
    <row r="280">
      <c r="A280" s="13" t="n"/>
      <c r="B280" s="14" t="n"/>
      <c r="C280" s="14" t="n"/>
      <c r="D280" s="15">
        <f>IF(OR(B280="",C280=""),"",C280-B280)</f>
        <v/>
      </c>
      <c r="E280" s="14" t="n"/>
      <c r="F280" s="14" t="n"/>
      <c r="G280" s="14" t="n"/>
      <c r="H280" s="14" t="n"/>
      <c r="I280" s="16">
        <f>IF(A280="","",IF(C280&lt;B280,"km Ende &lt; km Beginn",IF(AND(ROW()&gt;5,B280&lt;&gt;"",INDEX($C$5:$C$404,ROW()-5)&lt;&gt;"",B280&lt;&gt;INDEX($C$5:$C$404,ROW()-5)),"LÜCKE im km-Stand",IF(AND(E280="betrieblich",OR(F280="",G280="",H280="")),"Pflichtangabe fehlt","ok"))))</f>
        <v/>
      </c>
    </row>
    <row r="281">
      <c r="A281" s="13" t="n"/>
      <c r="B281" s="14" t="n"/>
      <c r="C281" s="14" t="n"/>
      <c r="D281" s="15">
        <f>IF(OR(B281="",C281=""),"",C281-B281)</f>
        <v/>
      </c>
      <c r="E281" s="14" t="n"/>
      <c r="F281" s="14" t="n"/>
      <c r="G281" s="14" t="n"/>
      <c r="H281" s="14" t="n"/>
      <c r="I281" s="16">
        <f>IF(A281="","",IF(C281&lt;B281,"km Ende &lt; km Beginn",IF(AND(ROW()&gt;5,B281&lt;&gt;"",INDEX($C$5:$C$404,ROW()-5)&lt;&gt;"",B281&lt;&gt;INDEX($C$5:$C$404,ROW()-5)),"LÜCKE im km-Stand",IF(AND(E281="betrieblich",OR(F281="",G281="",H281="")),"Pflichtangabe fehlt","ok"))))</f>
        <v/>
      </c>
    </row>
    <row r="282">
      <c r="A282" s="13" t="n"/>
      <c r="B282" s="14" t="n"/>
      <c r="C282" s="14" t="n"/>
      <c r="D282" s="15">
        <f>IF(OR(B282="",C282=""),"",C282-B282)</f>
        <v/>
      </c>
      <c r="E282" s="14" t="n"/>
      <c r="F282" s="14" t="n"/>
      <c r="G282" s="14" t="n"/>
      <c r="H282" s="14" t="n"/>
      <c r="I282" s="16">
        <f>IF(A282="","",IF(C282&lt;B282,"km Ende &lt; km Beginn",IF(AND(ROW()&gt;5,B282&lt;&gt;"",INDEX($C$5:$C$404,ROW()-5)&lt;&gt;"",B282&lt;&gt;INDEX($C$5:$C$404,ROW()-5)),"LÜCKE im km-Stand",IF(AND(E282="betrieblich",OR(F282="",G282="",H282="")),"Pflichtangabe fehlt","ok"))))</f>
        <v/>
      </c>
    </row>
    <row r="283">
      <c r="A283" s="13" t="n"/>
      <c r="B283" s="14" t="n"/>
      <c r="C283" s="14" t="n"/>
      <c r="D283" s="15">
        <f>IF(OR(B283="",C283=""),"",C283-B283)</f>
        <v/>
      </c>
      <c r="E283" s="14" t="n"/>
      <c r="F283" s="14" t="n"/>
      <c r="G283" s="14" t="n"/>
      <c r="H283" s="14" t="n"/>
      <c r="I283" s="16">
        <f>IF(A283="","",IF(C283&lt;B283,"km Ende &lt; km Beginn",IF(AND(ROW()&gt;5,B283&lt;&gt;"",INDEX($C$5:$C$404,ROW()-5)&lt;&gt;"",B283&lt;&gt;INDEX($C$5:$C$404,ROW()-5)),"LÜCKE im km-Stand",IF(AND(E283="betrieblich",OR(F283="",G283="",H283="")),"Pflichtangabe fehlt","ok"))))</f>
        <v/>
      </c>
    </row>
    <row r="284">
      <c r="A284" s="13" t="n"/>
      <c r="B284" s="14" t="n"/>
      <c r="C284" s="14" t="n"/>
      <c r="D284" s="15">
        <f>IF(OR(B284="",C284=""),"",C284-B284)</f>
        <v/>
      </c>
      <c r="E284" s="14" t="n"/>
      <c r="F284" s="14" t="n"/>
      <c r="G284" s="14" t="n"/>
      <c r="H284" s="14" t="n"/>
      <c r="I284" s="16">
        <f>IF(A284="","",IF(C284&lt;B284,"km Ende &lt; km Beginn",IF(AND(ROW()&gt;5,B284&lt;&gt;"",INDEX($C$5:$C$404,ROW()-5)&lt;&gt;"",B284&lt;&gt;INDEX($C$5:$C$404,ROW()-5)),"LÜCKE im km-Stand",IF(AND(E284="betrieblich",OR(F284="",G284="",H284="")),"Pflichtangabe fehlt","ok"))))</f>
        <v/>
      </c>
    </row>
    <row r="285">
      <c r="A285" s="13" t="n"/>
      <c r="B285" s="14" t="n"/>
      <c r="C285" s="14" t="n"/>
      <c r="D285" s="15">
        <f>IF(OR(B285="",C285=""),"",C285-B285)</f>
        <v/>
      </c>
      <c r="E285" s="14" t="n"/>
      <c r="F285" s="14" t="n"/>
      <c r="G285" s="14" t="n"/>
      <c r="H285" s="14" t="n"/>
      <c r="I285" s="16">
        <f>IF(A285="","",IF(C285&lt;B285,"km Ende &lt; km Beginn",IF(AND(ROW()&gt;5,B285&lt;&gt;"",INDEX($C$5:$C$404,ROW()-5)&lt;&gt;"",B285&lt;&gt;INDEX($C$5:$C$404,ROW()-5)),"LÜCKE im km-Stand",IF(AND(E285="betrieblich",OR(F285="",G285="",H285="")),"Pflichtangabe fehlt","ok"))))</f>
        <v/>
      </c>
    </row>
    <row r="286">
      <c r="A286" s="13" t="n"/>
      <c r="B286" s="14" t="n"/>
      <c r="C286" s="14" t="n"/>
      <c r="D286" s="15">
        <f>IF(OR(B286="",C286=""),"",C286-B286)</f>
        <v/>
      </c>
      <c r="E286" s="14" t="n"/>
      <c r="F286" s="14" t="n"/>
      <c r="G286" s="14" t="n"/>
      <c r="H286" s="14" t="n"/>
      <c r="I286" s="16">
        <f>IF(A286="","",IF(C286&lt;B286,"km Ende &lt; km Beginn",IF(AND(ROW()&gt;5,B286&lt;&gt;"",INDEX($C$5:$C$404,ROW()-5)&lt;&gt;"",B286&lt;&gt;INDEX($C$5:$C$404,ROW()-5)),"LÜCKE im km-Stand",IF(AND(E286="betrieblich",OR(F286="",G286="",H286="")),"Pflichtangabe fehlt","ok"))))</f>
        <v/>
      </c>
    </row>
    <row r="287">
      <c r="A287" s="13" t="n"/>
      <c r="B287" s="14" t="n"/>
      <c r="C287" s="14" t="n"/>
      <c r="D287" s="15">
        <f>IF(OR(B287="",C287=""),"",C287-B287)</f>
        <v/>
      </c>
      <c r="E287" s="14" t="n"/>
      <c r="F287" s="14" t="n"/>
      <c r="G287" s="14" t="n"/>
      <c r="H287" s="14" t="n"/>
      <c r="I287" s="16">
        <f>IF(A287="","",IF(C287&lt;B287,"km Ende &lt; km Beginn",IF(AND(ROW()&gt;5,B287&lt;&gt;"",INDEX($C$5:$C$404,ROW()-5)&lt;&gt;"",B287&lt;&gt;INDEX($C$5:$C$404,ROW()-5)),"LÜCKE im km-Stand",IF(AND(E287="betrieblich",OR(F287="",G287="",H287="")),"Pflichtangabe fehlt","ok"))))</f>
        <v/>
      </c>
    </row>
    <row r="288">
      <c r="A288" s="13" t="n"/>
      <c r="B288" s="14" t="n"/>
      <c r="C288" s="14" t="n"/>
      <c r="D288" s="15">
        <f>IF(OR(B288="",C288=""),"",C288-B288)</f>
        <v/>
      </c>
      <c r="E288" s="14" t="n"/>
      <c r="F288" s="14" t="n"/>
      <c r="G288" s="14" t="n"/>
      <c r="H288" s="14" t="n"/>
      <c r="I288" s="16">
        <f>IF(A288="","",IF(C288&lt;B288,"km Ende &lt; km Beginn",IF(AND(ROW()&gt;5,B288&lt;&gt;"",INDEX($C$5:$C$404,ROW()-5)&lt;&gt;"",B288&lt;&gt;INDEX($C$5:$C$404,ROW()-5)),"LÜCKE im km-Stand",IF(AND(E288="betrieblich",OR(F288="",G288="",H288="")),"Pflichtangabe fehlt","ok"))))</f>
        <v/>
      </c>
    </row>
    <row r="289">
      <c r="A289" s="13" t="n"/>
      <c r="B289" s="14" t="n"/>
      <c r="C289" s="14" t="n"/>
      <c r="D289" s="15">
        <f>IF(OR(B289="",C289=""),"",C289-B289)</f>
        <v/>
      </c>
      <c r="E289" s="14" t="n"/>
      <c r="F289" s="14" t="n"/>
      <c r="G289" s="14" t="n"/>
      <c r="H289" s="14" t="n"/>
      <c r="I289" s="16">
        <f>IF(A289="","",IF(C289&lt;B289,"km Ende &lt; km Beginn",IF(AND(ROW()&gt;5,B289&lt;&gt;"",INDEX($C$5:$C$404,ROW()-5)&lt;&gt;"",B289&lt;&gt;INDEX($C$5:$C$404,ROW()-5)),"LÜCKE im km-Stand",IF(AND(E289="betrieblich",OR(F289="",G289="",H289="")),"Pflichtangabe fehlt","ok"))))</f>
        <v/>
      </c>
    </row>
    <row r="290">
      <c r="A290" s="13" t="n"/>
      <c r="B290" s="14" t="n"/>
      <c r="C290" s="14" t="n"/>
      <c r="D290" s="15">
        <f>IF(OR(B290="",C290=""),"",C290-B290)</f>
        <v/>
      </c>
      <c r="E290" s="14" t="n"/>
      <c r="F290" s="14" t="n"/>
      <c r="G290" s="14" t="n"/>
      <c r="H290" s="14" t="n"/>
      <c r="I290" s="16">
        <f>IF(A290="","",IF(C290&lt;B290,"km Ende &lt; km Beginn",IF(AND(ROW()&gt;5,B290&lt;&gt;"",INDEX($C$5:$C$404,ROW()-5)&lt;&gt;"",B290&lt;&gt;INDEX($C$5:$C$404,ROW()-5)),"LÜCKE im km-Stand",IF(AND(E290="betrieblich",OR(F290="",G290="",H290="")),"Pflichtangabe fehlt","ok"))))</f>
        <v/>
      </c>
    </row>
    <row r="291">
      <c r="A291" s="13" t="n"/>
      <c r="B291" s="14" t="n"/>
      <c r="C291" s="14" t="n"/>
      <c r="D291" s="15">
        <f>IF(OR(B291="",C291=""),"",C291-B291)</f>
        <v/>
      </c>
      <c r="E291" s="14" t="n"/>
      <c r="F291" s="14" t="n"/>
      <c r="G291" s="14" t="n"/>
      <c r="H291" s="14" t="n"/>
      <c r="I291" s="16">
        <f>IF(A291="","",IF(C291&lt;B291,"km Ende &lt; km Beginn",IF(AND(ROW()&gt;5,B291&lt;&gt;"",INDEX($C$5:$C$404,ROW()-5)&lt;&gt;"",B291&lt;&gt;INDEX($C$5:$C$404,ROW()-5)),"LÜCKE im km-Stand",IF(AND(E291="betrieblich",OR(F291="",G291="",H291="")),"Pflichtangabe fehlt","ok"))))</f>
        <v/>
      </c>
    </row>
    <row r="292">
      <c r="A292" s="13" t="n"/>
      <c r="B292" s="14" t="n"/>
      <c r="C292" s="14" t="n"/>
      <c r="D292" s="15">
        <f>IF(OR(B292="",C292=""),"",C292-B292)</f>
        <v/>
      </c>
      <c r="E292" s="14" t="n"/>
      <c r="F292" s="14" t="n"/>
      <c r="G292" s="14" t="n"/>
      <c r="H292" s="14" t="n"/>
      <c r="I292" s="16">
        <f>IF(A292="","",IF(C292&lt;B292,"km Ende &lt; km Beginn",IF(AND(ROW()&gt;5,B292&lt;&gt;"",INDEX($C$5:$C$404,ROW()-5)&lt;&gt;"",B292&lt;&gt;INDEX($C$5:$C$404,ROW()-5)),"LÜCKE im km-Stand",IF(AND(E292="betrieblich",OR(F292="",G292="",H292="")),"Pflichtangabe fehlt","ok"))))</f>
        <v/>
      </c>
    </row>
    <row r="293">
      <c r="A293" s="13" t="n"/>
      <c r="B293" s="14" t="n"/>
      <c r="C293" s="14" t="n"/>
      <c r="D293" s="15">
        <f>IF(OR(B293="",C293=""),"",C293-B293)</f>
        <v/>
      </c>
      <c r="E293" s="14" t="n"/>
      <c r="F293" s="14" t="n"/>
      <c r="G293" s="14" t="n"/>
      <c r="H293" s="14" t="n"/>
      <c r="I293" s="16">
        <f>IF(A293="","",IF(C293&lt;B293,"km Ende &lt; km Beginn",IF(AND(ROW()&gt;5,B293&lt;&gt;"",INDEX($C$5:$C$404,ROW()-5)&lt;&gt;"",B293&lt;&gt;INDEX($C$5:$C$404,ROW()-5)),"LÜCKE im km-Stand",IF(AND(E293="betrieblich",OR(F293="",G293="",H293="")),"Pflichtangabe fehlt","ok"))))</f>
        <v/>
      </c>
    </row>
    <row r="294">
      <c r="A294" s="13" t="n"/>
      <c r="B294" s="14" t="n"/>
      <c r="C294" s="14" t="n"/>
      <c r="D294" s="15">
        <f>IF(OR(B294="",C294=""),"",C294-B294)</f>
        <v/>
      </c>
      <c r="E294" s="14" t="n"/>
      <c r="F294" s="14" t="n"/>
      <c r="G294" s="14" t="n"/>
      <c r="H294" s="14" t="n"/>
      <c r="I294" s="16">
        <f>IF(A294="","",IF(C294&lt;B294,"km Ende &lt; km Beginn",IF(AND(ROW()&gt;5,B294&lt;&gt;"",INDEX($C$5:$C$404,ROW()-5)&lt;&gt;"",B294&lt;&gt;INDEX($C$5:$C$404,ROW()-5)),"LÜCKE im km-Stand",IF(AND(E294="betrieblich",OR(F294="",G294="",H294="")),"Pflichtangabe fehlt","ok"))))</f>
        <v/>
      </c>
    </row>
    <row r="295">
      <c r="A295" s="13" t="n"/>
      <c r="B295" s="14" t="n"/>
      <c r="C295" s="14" t="n"/>
      <c r="D295" s="15">
        <f>IF(OR(B295="",C295=""),"",C295-B295)</f>
        <v/>
      </c>
      <c r="E295" s="14" t="n"/>
      <c r="F295" s="14" t="n"/>
      <c r="G295" s="14" t="n"/>
      <c r="H295" s="14" t="n"/>
      <c r="I295" s="16">
        <f>IF(A295="","",IF(C295&lt;B295,"km Ende &lt; km Beginn",IF(AND(ROW()&gt;5,B295&lt;&gt;"",INDEX($C$5:$C$404,ROW()-5)&lt;&gt;"",B295&lt;&gt;INDEX($C$5:$C$404,ROW()-5)),"LÜCKE im km-Stand",IF(AND(E295="betrieblich",OR(F295="",G295="",H295="")),"Pflichtangabe fehlt","ok"))))</f>
        <v/>
      </c>
    </row>
    <row r="296">
      <c r="A296" s="13" t="n"/>
      <c r="B296" s="14" t="n"/>
      <c r="C296" s="14" t="n"/>
      <c r="D296" s="15">
        <f>IF(OR(B296="",C296=""),"",C296-B296)</f>
        <v/>
      </c>
      <c r="E296" s="14" t="n"/>
      <c r="F296" s="14" t="n"/>
      <c r="G296" s="14" t="n"/>
      <c r="H296" s="14" t="n"/>
      <c r="I296" s="16">
        <f>IF(A296="","",IF(C296&lt;B296,"km Ende &lt; km Beginn",IF(AND(ROW()&gt;5,B296&lt;&gt;"",INDEX($C$5:$C$404,ROW()-5)&lt;&gt;"",B296&lt;&gt;INDEX($C$5:$C$404,ROW()-5)),"LÜCKE im km-Stand",IF(AND(E296="betrieblich",OR(F296="",G296="",H296="")),"Pflichtangabe fehlt","ok"))))</f>
        <v/>
      </c>
    </row>
    <row r="297">
      <c r="A297" s="13" t="n"/>
      <c r="B297" s="14" t="n"/>
      <c r="C297" s="14" t="n"/>
      <c r="D297" s="15">
        <f>IF(OR(B297="",C297=""),"",C297-B297)</f>
        <v/>
      </c>
      <c r="E297" s="14" t="n"/>
      <c r="F297" s="14" t="n"/>
      <c r="G297" s="14" t="n"/>
      <c r="H297" s="14" t="n"/>
      <c r="I297" s="16">
        <f>IF(A297="","",IF(C297&lt;B297,"km Ende &lt; km Beginn",IF(AND(ROW()&gt;5,B297&lt;&gt;"",INDEX($C$5:$C$404,ROW()-5)&lt;&gt;"",B297&lt;&gt;INDEX($C$5:$C$404,ROW()-5)),"LÜCKE im km-Stand",IF(AND(E297="betrieblich",OR(F297="",G297="",H297="")),"Pflichtangabe fehlt","ok"))))</f>
        <v/>
      </c>
    </row>
    <row r="298">
      <c r="A298" s="13" t="n"/>
      <c r="B298" s="14" t="n"/>
      <c r="C298" s="14" t="n"/>
      <c r="D298" s="15">
        <f>IF(OR(B298="",C298=""),"",C298-B298)</f>
        <v/>
      </c>
      <c r="E298" s="14" t="n"/>
      <c r="F298" s="14" t="n"/>
      <c r="G298" s="14" t="n"/>
      <c r="H298" s="14" t="n"/>
      <c r="I298" s="16">
        <f>IF(A298="","",IF(C298&lt;B298,"km Ende &lt; km Beginn",IF(AND(ROW()&gt;5,B298&lt;&gt;"",INDEX($C$5:$C$404,ROW()-5)&lt;&gt;"",B298&lt;&gt;INDEX($C$5:$C$404,ROW()-5)),"LÜCKE im km-Stand",IF(AND(E298="betrieblich",OR(F298="",G298="",H298="")),"Pflichtangabe fehlt","ok"))))</f>
        <v/>
      </c>
    </row>
    <row r="299">
      <c r="A299" s="13" t="n"/>
      <c r="B299" s="14" t="n"/>
      <c r="C299" s="14" t="n"/>
      <c r="D299" s="15">
        <f>IF(OR(B299="",C299=""),"",C299-B299)</f>
        <v/>
      </c>
      <c r="E299" s="14" t="n"/>
      <c r="F299" s="14" t="n"/>
      <c r="G299" s="14" t="n"/>
      <c r="H299" s="14" t="n"/>
      <c r="I299" s="16">
        <f>IF(A299="","",IF(C299&lt;B299,"km Ende &lt; km Beginn",IF(AND(ROW()&gt;5,B299&lt;&gt;"",INDEX($C$5:$C$404,ROW()-5)&lt;&gt;"",B299&lt;&gt;INDEX($C$5:$C$404,ROW()-5)),"LÜCKE im km-Stand",IF(AND(E299="betrieblich",OR(F299="",G299="",H299="")),"Pflichtangabe fehlt","ok"))))</f>
        <v/>
      </c>
    </row>
    <row r="300">
      <c r="A300" s="13" t="n"/>
      <c r="B300" s="14" t="n"/>
      <c r="C300" s="14" t="n"/>
      <c r="D300" s="15">
        <f>IF(OR(B300="",C300=""),"",C300-B300)</f>
        <v/>
      </c>
      <c r="E300" s="14" t="n"/>
      <c r="F300" s="14" t="n"/>
      <c r="G300" s="14" t="n"/>
      <c r="H300" s="14" t="n"/>
      <c r="I300" s="16">
        <f>IF(A300="","",IF(C300&lt;B300,"km Ende &lt; km Beginn",IF(AND(ROW()&gt;5,B300&lt;&gt;"",INDEX($C$5:$C$404,ROW()-5)&lt;&gt;"",B300&lt;&gt;INDEX($C$5:$C$404,ROW()-5)),"LÜCKE im km-Stand",IF(AND(E300="betrieblich",OR(F300="",G300="",H300="")),"Pflichtangabe fehlt","ok"))))</f>
        <v/>
      </c>
    </row>
    <row r="301">
      <c r="A301" s="13" t="n"/>
      <c r="B301" s="14" t="n"/>
      <c r="C301" s="14" t="n"/>
      <c r="D301" s="15">
        <f>IF(OR(B301="",C301=""),"",C301-B301)</f>
        <v/>
      </c>
      <c r="E301" s="14" t="n"/>
      <c r="F301" s="14" t="n"/>
      <c r="G301" s="14" t="n"/>
      <c r="H301" s="14" t="n"/>
      <c r="I301" s="16">
        <f>IF(A301="","",IF(C301&lt;B301,"km Ende &lt; km Beginn",IF(AND(ROW()&gt;5,B301&lt;&gt;"",INDEX($C$5:$C$404,ROW()-5)&lt;&gt;"",B301&lt;&gt;INDEX($C$5:$C$404,ROW()-5)),"LÜCKE im km-Stand",IF(AND(E301="betrieblich",OR(F301="",G301="",H301="")),"Pflichtangabe fehlt","ok"))))</f>
        <v/>
      </c>
    </row>
    <row r="302">
      <c r="A302" s="13" t="n"/>
      <c r="B302" s="14" t="n"/>
      <c r="C302" s="14" t="n"/>
      <c r="D302" s="15">
        <f>IF(OR(B302="",C302=""),"",C302-B302)</f>
        <v/>
      </c>
      <c r="E302" s="14" t="n"/>
      <c r="F302" s="14" t="n"/>
      <c r="G302" s="14" t="n"/>
      <c r="H302" s="14" t="n"/>
      <c r="I302" s="16">
        <f>IF(A302="","",IF(C302&lt;B302,"km Ende &lt; km Beginn",IF(AND(ROW()&gt;5,B302&lt;&gt;"",INDEX($C$5:$C$404,ROW()-5)&lt;&gt;"",B302&lt;&gt;INDEX($C$5:$C$404,ROW()-5)),"LÜCKE im km-Stand",IF(AND(E302="betrieblich",OR(F302="",G302="",H302="")),"Pflichtangabe fehlt","ok"))))</f>
        <v/>
      </c>
    </row>
    <row r="303">
      <c r="A303" s="13" t="n"/>
      <c r="B303" s="14" t="n"/>
      <c r="C303" s="14" t="n"/>
      <c r="D303" s="15">
        <f>IF(OR(B303="",C303=""),"",C303-B303)</f>
        <v/>
      </c>
      <c r="E303" s="14" t="n"/>
      <c r="F303" s="14" t="n"/>
      <c r="G303" s="14" t="n"/>
      <c r="H303" s="14" t="n"/>
      <c r="I303" s="16">
        <f>IF(A303="","",IF(C303&lt;B303,"km Ende &lt; km Beginn",IF(AND(ROW()&gt;5,B303&lt;&gt;"",INDEX($C$5:$C$404,ROW()-5)&lt;&gt;"",B303&lt;&gt;INDEX($C$5:$C$404,ROW()-5)),"LÜCKE im km-Stand",IF(AND(E303="betrieblich",OR(F303="",G303="",H303="")),"Pflichtangabe fehlt","ok"))))</f>
        <v/>
      </c>
    </row>
    <row r="304">
      <c r="A304" s="13" t="n"/>
      <c r="B304" s="14" t="n"/>
      <c r="C304" s="14" t="n"/>
      <c r="D304" s="15">
        <f>IF(OR(B304="",C304=""),"",C304-B304)</f>
        <v/>
      </c>
      <c r="E304" s="14" t="n"/>
      <c r="F304" s="14" t="n"/>
      <c r="G304" s="14" t="n"/>
      <c r="H304" s="14" t="n"/>
      <c r="I304" s="16">
        <f>IF(A304="","",IF(C304&lt;B304,"km Ende &lt; km Beginn",IF(AND(ROW()&gt;5,B304&lt;&gt;"",INDEX($C$5:$C$404,ROW()-5)&lt;&gt;"",B304&lt;&gt;INDEX($C$5:$C$404,ROW()-5)),"LÜCKE im km-Stand",IF(AND(E304="betrieblich",OR(F304="",G304="",H304="")),"Pflichtangabe fehlt","ok"))))</f>
        <v/>
      </c>
    </row>
    <row r="305">
      <c r="A305" s="13" t="n"/>
      <c r="B305" s="14" t="n"/>
      <c r="C305" s="14" t="n"/>
      <c r="D305" s="15">
        <f>IF(OR(B305="",C305=""),"",C305-B305)</f>
        <v/>
      </c>
      <c r="E305" s="14" t="n"/>
      <c r="F305" s="14" t="n"/>
      <c r="G305" s="14" t="n"/>
      <c r="H305" s="14" t="n"/>
      <c r="I305" s="16">
        <f>IF(A305="","",IF(C305&lt;B305,"km Ende &lt; km Beginn",IF(AND(ROW()&gt;5,B305&lt;&gt;"",INDEX($C$5:$C$404,ROW()-5)&lt;&gt;"",B305&lt;&gt;INDEX($C$5:$C$404,ROW()-5)),"LÜCKE im km-Stand",IF(AND(E305="betrieblich",OR(F305="",G305="",H305="")),"Pflichtangabe fehlt","ok"))))</f>
        <v/>
      </c>
    </row>
    <row r="306">
      <c r="A306" s="13" t="n"/>
      <c r="B306" s="14" t="n"/>
      <c r="C306" s="14" t="n"/>
      <c r="D306" s="15">
        <f>IF(OR(B306="",C306=""),"",C306-B306)</f>
        <v/>
      </c>
      <c r="E306" s="14" t="n"/>
      <c r="F306" s="14" t="n"/>
      <c r="G306" s="14" t="n"/>
      <c r="H306" s="14" t="n"/>
      <c r="I306" s="16">
        <f>IF(A306="","",IF(C306&lt;B306,"km Ende &lt; km Beginn",IF(AND(ROW()&gt;5,B306&lt;&gt;"",INDEX($C$5:$C$404,ROW()-5)&lt;&gt;"",B306&lt;&gt;INDEX($C$5:$C$404,ROW()-5)),"LÜCKE im km-Stand",IF(AND(E306="betrieblich",OR(F306="",G306="",H306="")),"Pflichtangabe fehlt","ok"))))</f>
        <v/>
      </c>
    </row>
    <row r="307">
      <c r="A307" s="13" t="n"/>
      <c r="B307" s="14" t="n"/>
      <c r="C307" s="14" t="n"/>
      <c r="D307" s="15">
        <f>IF(OR(B307="",C307=""),"",C307-B307)</f>
        <v/>
      </c>
      <c r="E307" s="14" t="n"/>
      <c r="F307" s="14" t="n"/>
      <c r="G307" s="14" t="n"/>
      <c r="H307" s="14" t="n"/>
      <c r="I307" s="16">
        <f>IF(A307="","",IF(C307&lt;B307,"km Ende &lt; km Beginn",IF(AND(ROW()&gt;5,B307&lt;&gt;"",INDEX($C$5:$C$404,ROW()-5)&lt;&gt;"",B307&lt;&gt;INDEX($C$5:$C$404,ROW()-5)),"LÜCKE im km-Stand",IF(AND(E307="betrieblich",OR(F307="",G307="",H307="")),"Pflichtangabe fehlt","ok"))))</f>
        <v/>
      </c>
    </row>
    <row r="308">
      <c r="A308" s="13" t="n"/>
      <c r="B308" s="14" t="n"/>
      <c r="C308" s="14" t="n"/>
      <c r="D308" s="15">
        <f>IF(OR(B308="",C308=""),"",C308-B308)</f>
        <v/>
      </c>
      <c r="E308" s="14" t="n"/>
      <c r="F308" s="14" t="n"/>
      <c r="G308" s="14" t="n"/>
      <c r="H308" s="14" t="n"/>
      <c r="I308" s="16">
        <f>IF(A308="","",IF(C308&lt;B308,"km Ende &lt; km Beginn",IF(AND(ROW()&gt;5,B308&lt;&gt;"",INDEX($C$5:$C$404,ROW()-5)&lt;&gt;"",B308&lt;&gt;INDEX($C$5:$C$404,ROW()-5)),"LÜCKE im km-Stand",IF(AND(E308="betrieblich",OR(F308="",G308="",H308="")),"Pflichtangabe fehlt","ok"))))</f>
        <v/>
      </c>
    </row>
    <row r="309">
      <c r="A309" s="13" t="n"/>
      <c r="B309" s="14" t="n"/>
      <c r="C309" s="14" t="n"/>
      <c r="D309" s="15">
        <f>IF(OR(B309="",C309=""),"",C309-B309)</f>
        <v/>
      </c>
      <c r="E309" s="14" t="n"/>
      <c r="F309" s="14" t="n"/>
      <c r="G309" s="14" t="n"/>
      <c r="H309" s="14" t="n"/>
      <c r="I309" s="16">
        <f>IF(A309="","",IF(C309&lt;B309,"km Ende &lt; km Beginn",IF(AND(ROW()&gt;5,B309&lt;&gt;"",INDEX($C$5:$C$404,ROW()-5)&lt;&gt;"",B309&lt;&gt;INDEX($C$5:$C$404,ROW()-5)),"LÜCKE im km-Stand",IF(AND(E309="betrieblich",OR(F309="",G309="",H309="")),"Pflichtangabe fehlt","ok"))))</f>
        <v/>
      </c>
    </row>
    <row r="310">
      <c r="A310" s="13" t="n"/>
      <c r="B310" s="14" t="n"/>
      <c r="C310" s="14" t="n"/>
      <c r="D310" s="15">
        <f>IF(OR(B310="",C310=""),"",C310-B310)</f>
        <v/>
      </c>
      <c r="E310" s="14" t="n"/>
      <c r="F310" s="14" t="n"/>
      <c r="G310" s="14" t="n"/>
      <c r="H310" s="14" t="n"/>
      <c r="I310" s="16">
        <f>IF(A310="","",IF(C310&lt;B310,"km Ende &lt; km Beginn",IF(AND(ROW()&gt;5,B310&lt;&gt;"",INDEX($C$5:$C$404,ROW()-5)&lt;&gt;"",B310&lt;&gt;INDEX($C$5:$C$404,ROW()-5)),"LÜCKE im km-Stand",IF(AND(E310="betrieblich",OR(F310="",G310="",H310="")),"Pflichtangabe fehlt","ok"))))</f>
        <v/>
      </c>
    </row>
    <row r="311">
      <c r="A311" s="13" t="n"/>
      <c r="B311" s="14" t="n"/>
      <c r="C311" s="14" t="n"/>
      <c r="D311" s="15">
        <f>IF(OR(B311="",C311=""),"",C311-B311)</f>
        <v/>
      </c>
      <c r="E311" s="14" t="n"/>
      <c r="F311" s="14" t="n"/>
      <c r="G311" s="14" t="n"/>
      <c r="H311" s="14" t="n"/>
      <c r="I311" s="16">
        <f>IF(A311="","",IF(C311&lt;B311,"km Ende &lt; km Beginn",IF(AND(ROW()&gt;5,B311&lt;&gt;"",INDEX($C$5:$C$404,ROW()-5)&lt;&gt;"",B311&lt;&gt;INDEX($C$5:$C$404,ROW()-5)),"LÜCKE im km-Stand",IF(AND(E311="betrieblich",OR(F311="",G311="",H311="")),"Pflichtangabe fehlt","ok"))))</f>
        <v/>
      </c>
    </row>
    <row r="312">
      <c r="A312" s="13" t="n"/>
      <c r="B312" s="14" t="n"/>
      <c r="C312" s="14" t="n"/>
      <c r="D312" s="15">
        <f>IF(OR(B312="",C312=""),"",C312-B312)</f>
        <v/>
      </c>
      <c r="E312" s="14" t="n"/>
      <c r="F312" s="14" t="n"/>
      <c r="G312" s="14" t="n"/>
      <c r="H312" s="14" t="n"/>
      <c r="I312" s="16">
        <f>IF(A312="","",IF(C312&lt;B312,"km Ende &lt; km Beginn",IF(AND(ROW()&gt;5,B312&lt;&gt;"",INDEX($C$5:$C$404,ROW()-5)&lt;&gt;"",B312&lt;&gt;INDEX($C$5:$C$404,ROW()-5)),"LÜCKE im km-Stand",IF(AND(E312="betrieblich",OR(F312="",G312="",H312="")),"Pflichtangabe fehlt","ok"))))</f>
        <v/>
      </c>
    </row>
    <row r="313">
      <c r="A313" s="13" t="n"/>
      <c r="B313" s="14" t="n"/>
      <c r="C313" s="14" t="n"/>
      <c r="D313" s="15">
        <f>IF(OR(B313="",C313=""),"",C313-B313)</f>
        <v/>
      </c>
      <c r="E313" s="14" t="n"/>
      <c r="F313" s="14" t="n"/>
      <c r="G313" s="14" t="n"/>
      <c r="H313" s="14" t="n"/>
      <c r="I313" s="16">
        <f>IF(A313="","",IF(C313&lt;B313,"km Ende &lt; km Beginn",IF(AND(ROW()&gt;5,B313&lt;&gt;"",INDEX($C$5:$C$404,ROW()-5)&lt;&gt;"",B313&lt;&gt;INDEX($C$5:$C$404,ROW()-5)),"LÜCKE im km-Stand",IF(AND(E313="betrieblich",OR(F313="",G313="",H313="")),"Pflichtangabe fehlt","ok"))))</f>
        <v/>
      </c>
    </row>
    <row r="314">
      <c r="A314" s="13" t="n"/>
      <c r="B314" s="14" t="n"/>
      <c r="C314" s="14" t="n"/>
      <c r="D314" s="15">
        <f>IF(OR(B314="",C314=""),"",C314-B314)</f>
        <v/>
      </c>
      <c r="E314" s="14" t="n"/>
      <c r="F314" s="14" t="n"/>
      <c r="G314" s="14" t="n"/>
      <c r="H314" s="14" t="n"/>
      <c r="I314" s="16">
        <f>IF(A314="","",IF(C314&lt;B314,"km Ende &lt; km Beginn",IF(AND(ROW()&gt;5,B314&lt;&gt;"",INDEX($C$5:$C$404,ROW()-5)&lt;&gt;"",B314&lt;&gt;INDEX($C$5:$C$404,ROW()-5)),"LÜCKE im km-Stand",IF(AND(E314="betrieblich",OR(F314="",G314="",H314="")),"Pflichtangabe fehlt","ok"))))</f>
        <v/>
      </c>
    </row>
    <row r="315">
      <c r="A315" s="13" t="n"/>
      <c r="B315" s="14" t="n"/>
      <c r="C315" s="14" t="n"/>
      <c r="D315" s="15">
        <f>IF(OR(B315="",C315=""),"",C315-B315)</f>
        <v/>
      </c>
      <c r="E315" s="14" t="n"/>
      <c r="F315" s="14" t="n"/>
      <c r="G315" s="14" t="n"/>
      <c r="H315" s="14" t="n"/>
      <c r="I315" s="16">
        <f>IF(A315="","",IF(C315&lt;B315,"km Ende &lt; km Beginn",IF(AND(ROW()&gt;5,B315&lt;&gt;"",INDEX($C$5:$C$404,ROW()-5)&lt;&gt;"",B315&lt;&gt;INDEX($C$5:$C$404,ROW()-5)),"LÜCKE im km-Stand",IF(AND(E315="betrieblich",OR(F315="",G315="",H315="")),"Pflichtangabe fehlt","ok"))))</f>
        <v/>
      </c>
    </row>
    <row r="316">
      <c r="A316" s="13" t="n"/>
      <c r="B316" s="14" t="n"/>
      <c r="C316" s="14" t="n"/>
      <c r="D316" s="15">
        <f>IF(OR(B316="",C316=""),"",C316-B316)</f>
        <v/>
      </c>
      <c r="E316" s="14" t="n"/>
      <c r="F316" s="14" t="n"/>
      <c r="G316" s="14" t="n"/>
      <c r="H316" s="14" t="n"/>
      <c r="I316" s="16">
        <f>IF(A316="","",IF(C316&lt;B316,"km Ende &lt; km Beginn",IF(AND(ROW()&gt;5,B316&lt;&gt;"",INDEX($C$5:$C$404,ROW()-5)&lt;&gt;"",B316&lt;&gt;INDEX($C$5:$C$404,ROW()-5)),"LÜCKE im km-Stand",IF(AND(E316="betrieblich",OR(F316="",G316="",H316="")),"Pflichtangabe fehlt","ok"))))</f>
        <v/>
      </c>
    </row>
    <row r="317">
      <c r="A317" s="13" t="n"/>
      <c r="B317" s="14" t="n"/>
      <c r="C317" s="14" t="n"/>
      <c r="D317" s="15">
        <f>IF(OR(B317="",C317=""),"",C317-B317)</f>
        <v/>
      </c>
      <c r="E317" s="14" t="n"/>
      <c r="F317" s="14" t="n"/>
      <c r="G317" s="14" t="n"/>
      <c r="H317" s="14" t="n"/>
      <c r="I317" s="16">
        <f>IF(A317="","",IF(C317&lt;B317,"km Ende &lt; km Beginn",IF(AND(ROW()&gt;5,B317&lt;&gt;"",INDEX($C$5:$C$404,ROW()-5)&lt;&gt;"",B317&lt;&gt;INDEX($C$5:$C$404,ROW()-5)),"LÜCKE im km-Stand",IF(AND(E317="betrieblich",OR(F317="",G317="",H317="")),"Pflichtangabe fehlt","ok"))))</f>
        <v/>
      </c>
    </row>
    <row r="318">
      <c r="A318" s="13" t="n"/>
      <c r="B318" s="14" t="n"/>
      <c r="C318" s="14" t="n"/>
      <c r="D318" s="15">
        <f>IF(OR(B318="",C318=""),"",C318-B318)</f>
        <v/>
      </c>
      <c r="E318" s="14" t="n"/>
      <c r="F318" s="14" t="n"/>
      <c r="G318" s="14" t="n"/>
      <c r="H318" s="14" t="n"/>
      <c r="I318" s="16">
        <f>IF(A318="","",IF(C318&lt;B318,"km Ende &lt; km Beginn",IF(AND(ROW()&gt;5,B318&lt;&gt;"",INDEX($C$5:$C$404,ROW()-5)&lt;&gt;"",B318&lt;&gt;INDEX($C$5:$C$404,ROW()-5)),"LÜCKE im km-Stand",IF(AND(E318="betrieblich",OR(F318="",G318="",H318="")),"Pflichtangabe fehlt","ok"))))</f>
        <v/>
      </c>
    </row>
    <row r="319">
      <c r="A319" s="13" t="n"/>
      <c r="B319" s="14" t="n"/>
      <c r="C319" s="14" t="n"/>
      <c r="D319" s="15">
        <f>IF(OR(B319="",C319=""),"",C319-B319)</f>
        <v/>
      </c>
      <c r="E319" s="14" t="n"/>
      <c r="F319" s="14" t="n"/>
      <c r="G319" s="14" t="n"/>
      <c r="H319" s="14" t="n"/>
      <c r="I319" s="16">
        <f>IF(A319="","",IF(C319&lt;B319,"km Ende &lt; km Beginn",IF(AND(ROW()&gt;5,B319&lt;&gt;"",INDEX($C$5:$C$404,ROW()-5)&lt;&gt;"",B319&lt;&gt;INDEX($C$5:$C$404,ROW()-5)),"LÜCKE im km-Stand",IF(AND(E319="betrieblich",OR(F319="",G319="",H319="")),"Pflichtangabe fehlt","ok"))))</f>
        <v/>
      </c>
    </row>
    <row r="320">
      <c r="A320" s="13" t="n"/>
      <c r="B320" s="14" t="n"/>
      <c r="C320" s="14" t="n"/>
      <c r="D320" s="15">
        <f>IF(OR(B320="",C320=""),"",C320-B320)</f>
        <v/>
      </c>
      <c r="E320" s="14" t="n"/>
      <c r="F320" s="14" t="n"/>
      <c r="G320" s="14" t="n"/>
      <c r="H320" s="14" t="n"/>
      <c r="I320" s="16">
        <f>IF(A320="","",IF(C320&lt;B320,"km Ende &lt; km Beginn",IF(AND(ROW()&gt;5,B320&lt;&gt;"",INDEX($C$5:$C$404,ROW()-5)&lt;&gt;"",B320&lt;&gt;INDEX($C$5:$C$404,ROW()-5)),"LÜCKE im km-Stand",IF(AND(E320="betrieblich",OR(F320="",G320="",H320="")),"Pflichtangabe fehlt","ok"))))</f>
        <v/>
      </c>
    </row>
    <row r="321">
      <c r="A321" s="13" t="n"/>
      <c r="B321" s="14" t="n"/>
      <c r="C321" s="14" t="n"/>
      <c r="D321" s="15">
        <f>IF(OR(B321="",C321=""),"",C321-B321)</f>
        <v/>
      </c>
      <c r="E321" s="14" t="n"/>
      <c r="F321" s="14" t="n"/>
      <c r="G321" s="14" t="n"/>
      <c r="H321" s="14" t="n"/>
      <c r="I321" s="16">
        <f>IF(A321="","",IF(C321&lt;B321,"km Ende &lt; km Beginn",IF(AND(ROW()&gt;5,B321&lt;&gt;"",INDEX($C$5:$C$404,ROW()-5)&lt;&gt;"",B321&lt;&gt;INDEX($C$5:$C$404,ROW()-5)),"LÜCKE im km-Stand",IF(AND(E321="betrieblich",OR(F321="",G321="",H321="")),"Pflichtangabe fehlt","ok"))))</f>
        <v/>
      </c>
    </row>
    <row r="322">
      <c r="A322" s="13" t="n"/>
      <c r="B322" s="14" t="n"/>
      <c r="C322" s="14" t="n"/>
      <c r="D322" s="15">
        <f>IF(OR(B322="",C322=""),"",C322-B322)</f>
        <v/>
      </c>
      <c r="E322" s="14" t="n"/>
      <c r="F322" s="14" t="n"/>
      <c r="G322" s="14" t="n"/>
      <c r="H322" s="14" t="n"/>
      <c r="I322" s="16">
        <f>IF(A322="","",IF(C322&lt;B322,"km Ende &lt; km Beginn",IF(AND(ROW()&gt;5,B322&lt;&gt;"",INDEX($C$5:$C$404,ROW()-5)&lt;&gt;"",B322&lt;&gt;INDEX($C$5:$C$404,ROW()-5)),"LÜCKE im km-Stand",IF(AND(E322="betrieblich",OR(F322="",G322="",H322="")),"Pflichtangabe fehlt","ok"))))</f>
        <v/>
      </c>
    </row>
    <row r="323">
      <c r="A323" s="13" t="n"/>
      <c r="B323" s="14" t="n"/>
      <c r="C323" s="14" t="n"/>
      <c r="D323" s="15">
        <f>IF(OR(B323="",C323=""),"",C323-B323)</f>
        <v/>
      </c>
      <c r="E323" s="14" t="n"/>
      <c r="F323" s="14" t="n"/>
      <c r="G323" s="14" t="n"/>
      <c r="H323" s="14" t="n"/>
      <c r="I323" s="16">
        <f>IF(A323="","",IF(C323&lt;B323,"km Ende &lt; km Beginn",IF(AND(ROW()&gt;5,B323&lt;&gt;"",INDEX($C$5:$C$404,ROW()-5)&lt;&gt;"",B323&lt;&gt;INDEX($C$5:$C$404,ROW()-5)),"LÜCKE im km-Stand",IF(AND(E323="betrieblich",OR(F323="",G323="",H323="")),"Pflichtangabe fehlt","ok"))))</f>
        <v/>
      </c>
    </row>
    <row r="324">
      <c r="A324" s="13" t="n"/>
      <c r="B324" s="14" t="n"/>
      <c r="C324" s="14" t="n"/>
      <c r="D324" s="15">
        <f>IF(OR(B324="",C324=""),"",C324-B324)</f>
        <v/>
      </c>
      <c r="E324" s="14" t="n"/>
      <c r="F324" s="14" t="n"/>
      <c r="G324" s="14" t="n"/>
      <c r="H324" s="14" t="n"/>
      <c r="I324" s="16">
        <f>IF(A324="","",IF(C324&lt;B324,"km Ende &lt; km Beginn",IF(AND(ROW()&gt;5,B324&lt;&gt;"",INDEX($C$5:$C$404,ROW()-5)&lt;&gt;"",B324&lt;&gt;INDEX($C$5:$C$404,ROW()-5)),"LÜCKE im km-Stand",IF(AND(E324="betrieblich",OR(F324="",G324="",H324="")),"Pflichtangabe fehlt","ok"))))</f>
        <v/>
      </c>
    </row>
    <row r="325">
      <c r="A325" s="13" t="n"/>
      <c r="B325" s="14" t="n"/>
      <c r="C325" s="14" t="n"/>
      <c r="D325" s="15">
        <f>IF(OR(B325="",C325=""),"",C325-B325)</f>
        <v/>
      </c>
      <c r="E325" s="14" t="n"/>
      <c r="F325" s="14" t="n"/>
      <c r="G325" s="14" t="n"/>
      <c r="H325" s="14" t="n"/>
      <c r="I325" s="16">
        <f>IF(A325="","",IF(C325&lt;B325,"km Ende &lt; km Beginn",IF(AND(ROW()&gt;5,B325&lt;&gt;"",INDEX($C$5:$C$404,ROW()-5)&lt;&gt;"",B325&lt;&gt;INDEX($C$5:$C$404,ROW()-5)),"LÜCKE im km-Stand",IF(AND(E325="betrieblich",OR(F325="",G325="",H325="")),"Pflichtangabe fehlt","ok"))))</f>
        <v/>
      </c>
    </row>
    <row r="326">
      <c r="A326" s="13" t="n"/>
      <c r="B326" s="14" t="n"/>
      <c r="C326" s="14" t="n"/>
      <c r="D326" s="15">
        <f>IF(OR(B326="",C326=""),"",C326-B326)</f>
        <v/>
      </c>
      <c r="E326" s="14" t="n"/>
      <c r="F326" s="14" t="n"/>
      <c r="G326" s="14" t="n"/>
      <c r="H326" s="14" t="n"/>
      <c r="I326" s="16">
        <f>IF(A326="","",IF(C326&lt;B326,"km Ende &lt; km Beginn",IF(AND(ROW()&gt;5,B326&lt;&gt;"",INDEX($C$5:$C$404,ROW()-5)&lt;&gt;"",B326&lt;&gt;INDEX($C$5:$C$404,ROW()-5)),"LÜCKE im km-Stand",IF(AND(E326="betrieblich",OR(F326="",G326="",H326="")),"Pflichtangabe fehlt","ok"))))</f>
        <v/>
      </c>
    </row>
    <row r="327">
      <c r="A327" s="13" t="n"/>
      <c r="B327" s="14" t="n"/>
      <c r="C327" s="14" t="n"/>
      <c r="D327" s="15">
        <f>IF(OR(B327="",C327=""),"",C327-B327)</f>
        <v/>
      </c>
      <c r="E327" s="14" t="n"/>
      <c r="F327" s="14" t="n"/>
      <c r="G327" s="14" t="n"/>
      <c r="H327" s="14" t="n"/>
      <c r="I327" s="16">
        <f>IF(A327="","",IF(C327&lt;B327,"km Ende &lt; km Beginn",IF(AND(ROW()&gt;5,B327&lt;&gt;"",INDEX($C$5:$C$404,ROW()-5)&lt;&gt;"",B327&lt;&gt;INDEX($C$5:$C$404,ROW()-5)),"LÜCKE im km-Stand",IF(AND(E327="betrieblich",OR(F327="",G327="",H327="")),"Pflichtangabe fehlt","ok"))))</f>
        <v/>
      </c>
    </row>
    <row r="328">
      <c r="A328" s="13" t="n"/>
      <c r="B328" s="14" t="n"/>
      <c r="C328" s="14" t="n"/>
      <c r="D328" s="15">
        <f>IF(OR(B328="",C328=""),"",C328-B328)</f>
        <v/>
      </c>
      <c r="E328" s="14" t="n"/>
      <c r="F328" s="14" t="n"/>
      <c r="G328" s="14" t="n"/>
      <c r="H328" s="14" t="n"/>
      <c r="I328" s="16">
        <f>IF(A328="","",IF(C328&lt;B328,"km Ende &lt; km Beginn",IF(AND(ROW()&gt;5,B328&lt;&gt;"",INDEX($C$5:$C$404,ROW()-5)&lt;&gt;"",B328&lt;&gt;INDEX($C$5:$C$404,ROW()-5)),"LÜCKE im km-Stand",IF(AND(E328="betrieblich",OR(F328="",G328="",H328="")),"Pflichtangabe fehlt","ok"))))</f>
        <v/>
      </c>
    </row>
    <row r="329">
      <c r="A329" s="13" t="n"/>
      <c r="B329" s="14" t="n"/>
      <c r="C329" s="14" t="n"/>
      <c r="D329" s="15">
        <f>IF(OR(B329="",C329=""),"",C329-B329)</f>
        <v/>
      </c>
      <c r="E329" s="14" t="n"/>
      <c r="F329" s="14" t="n"/>
      <c r="G329" s="14" t="n"/>
      <c r="H329" s="14" t="n"/>
      <c r="I329" s="16">
        <f>IF(A329="","",IF(C329&lt;B329,"km Ende &lt; km Beginn",IF(AND(ROW()&gt;5,B329&lt;&gt;"",INDEX($C$5:$C$404,ROW()-5)&lt;&gt;"",B329&lt;&gt;INDEX($C$5:$C$404,ROW()-5)),"LÜCKE im km-Stand",IF(AND(E329="betrieblich",OR(F329="",G329="",H329="")),"Pflichtangabe fehlt","ok"))))</f>
        <v/>
      </c>
    </row>
    <row r="330">
      <c r="A330" s="13" t="n"/>
      <c r="B330" s="14" t="n"/>
      <c r="C330" s="14" t="n"/>
      <c r="D330" s="15">
        <f>IF(OR(B330="",C330=""),"",C330-B330)</f>
        <v/>
      </c>
      <c r="E330" s="14" t="n"/>
      <c r="F330" s="14" t="n"/>
      <c r="G330" s="14" t="n"/>
      <c r="H330" s="14" t="n"/>
      <c r="I330" s="16">
        <f>IF(A330="","",IF(C330&lt;B330,"km Ende &lt; km Beginn",IF(AND(ROW()&gt;5,B330&lt;&gt;"",INDEX($C$5:$C$404,ROW()-5)&lt;&gt;"",B330&lt;&gt;INDEX($C$5:$C$404,ROW()-5)),"LÜCKE im km-Stand",IF(AND(E330="betrieblich",OR(F330="",G330="",H330="")),"Pflichtangabe fehlt","ok"))))</f>
        <v/>
      </c>
    </row>
    <row r="331">
      <c r="A331" s="13" t="n"/>
      <c r="B331" s="14" t="n"/>
      <c r="C331" s="14" t="n"/>
      <c r="D331" s="15">
        <f>IF(OR(B331="",C331=""),"",C331-B331)</f>
        <v/>
      </c>
      <c r="E331" s="14" t="n"/>
      <c r="F331" s="14" t="n"/>
      <c r="G331" s="14" t="n"/>
      <c r="H331" s="14" t="n"/>
      <c r="I331" s="16">
        <f>IF(A331="","",IF(C331&lt;B331,"km Ende &lt; km Beginn",IF(AND(ROW()&gt;5,B331&lt;&gt;"",INDEX($C$5:$C$404,ROW()-5)&lt;&gt;"",B331&lt;&gt;INDEX($C$5:$C$404,ROW()-5)),"LÜCKE im km-Stand",IF(AND(E331="betrieblich",OR(F331="",G331="",H331="")),"Pflichtangabe fehlt","ok"))))</f>
        <v/>
      </c>
    </row>
    <row r="332">
      <c r="A332" s="13" t="n"/>
      <c r="B332" s="14" t="n"/>
      <c r="C332" s="14" t="n"/>
      <c r="D332" s="15">
        <f>IF(OR(B332="",C332=""),"",C332-B332)</f>
        <v/>
      </c>
      <c r="E332" s="14" t="n"/>
      <c r="F332" s="14" t="n"/>
      <c r="G332" s="14" t="n"/>
      <c r="H332" s="14" t="n"/>
      <c r="I332" s="16">
        <f>IF(A332="","",IF(C332&lt;B332,"km Ende &lt; km Beginn",IF(AND(ROW()&gt;5,B332&lt;&gt;"",INDEX($C$5:$C$404,ROW()-5)&lt;&gt;"",B332&lt;&gt;INDEX($C$5:$C$404,ROW()-5)),"LÜCKE im km-Stand",IF(AND(E332="betrieblich",OR(F332="",G332="",H332="")),"Pflichtangabe fehlt","ok"))))</f>
        <v/>
      </c>
    </row>
    <row r="333">
      <c r="A333" s="13" t="n"/>
      <c r="B333" s="14" t="n"/>
      <c r="C333" s="14" t="n"/>
      <c r="D333" s="15">
        <f>IF(OR(B333="",C333=""),"",C333-B333)</f>
        <v/>
      </c>
      <c r="E333" s="14" t="n"/>
      <c r="F333" s="14" t="n"/>
      <c r="G333" s="14" t="n"/>
      <c r="H333" s="14" t="n"/>
      <c r="I333" s="16">
        <f>IF(A333="","",IF(C333&lt;B333,"km Ende &lt; km Beginn",IF(AND(ROW()&gt;5,B333&lt;&gt;"",INDEX($C$5:$C$404,ROW()-5)&lt;&gt;"",B333&lt;&gt;INDEX($C$5:$C$404,ROW()-5)),"LÜCKE im km-Stand",IF(AND(E333="betrieblich",OR(F333="",G333="",H333="")),"Pflichtangabe fehlt","ok"))))</f>
        <v/>
      </c>
    </row>
    <row r="334">
      <c r="A334" s="13" t="n"/>
      <c r="B334" s="14" t="n"/>
      <c r="C334" s="14" t="n"/>
      <c r="D334" s="15">
        <f>IF(OR(B334="",C334=""),"",C334-B334)</f>
        <v/>
      </c>
      <c r="E334" s="14" t="n"/>
      <c r="F334" s="14" t="n"/>
      <c r="G334" s="14" t="n"/>
      <c r="H334" s="14" t="n"/>
      <c r="I334" s="16">
        <f>IF(A334="","",IF(C334&lt;B334,"km Ende &lt; km Beginn",IF(AND(ROW()&gt;5,B334&lt;&gt;"",INDEX($C$5:$C$404,ROW()-5)&lt;&gt;"",B334&lt;&gt;INDEX($C$5:$C$404,ROW()-5)),"LÜCKE im km-Stand",IF(AND(E334="betrieblich",OR(F334="",G334="",H334="")),"Pflichtangabe fehlt","ok"))))</f>
        <v/>
      </c>
    </row>
    <row r="335">
      <c r="A335" s="13" t="n"/>
      <c r="B335" s="14" t="n"/>
      <c r="C335" s="14" t="n"/>
      <c r="D335" s="15">
        <f>IF(OR(B335="",C335=""),"",C335-B335)</f>
        <v/>
      </c>
      <c r="E335" s="14" t="n"/>
      <c r="F335" s="14" t="n"/>
      <c r="G335" s="14" t="n"/>
      <c r="H335" s="14" t="n"/>
      <c r="I335" s="16">
        <f>IF(A335="","",IF(C335&lt;B335,"km Ende &lt; km Beginn",IF(AND(ROW()&gt;5,B335&lt;&gt;"",INDEX($C$5:$C$404,ROW()-5)&lt;&gt;"",B335&lt;&gt;INDEX($C$5:$C$404,ROW()-5)),"LÜCKE im km-Stand",IF(AND(E335="betrieblich",OR(F335="",G335="",H335="")),"Pflichtangabe fehlt","ok"))))</f>
        <v/>
      </c>
    </row>
    <row r="336">
      <c r="A336" s="13" t="n"/>
      <c r="B336" s="14" t="n"/>
      <c r="C336" s="14" t="n"/>
      <c r="D336" s="15">
        <f>IF(OR(B336="",C336=""),"",C336-B336)</f>
        <v/>
      </c>
      <c r="E336" s="14" t="n"/>
      <c r="F336" s="14" t="n"/>
      <c r="G336" s="14" t="n"/>
      <c r="H336" s="14" t="n"/>
      <c r="I336" s="16">
        <f>IF(A336="","",IF(C336&lt;B336,"km Ende &lt; km Beginn",IF(AND(ROW()&gt;5,B336&lt;&gt;"",INDEX($C$5:$C$404,ROW()-5)&lt;&gt;"",B336&lt;&gt;INDEX($C$5:$C$404,ROW()-5)),"LÜCKE im km-Stand",IF(AND(E336="betrieblich",OR(F336="",G336="",H336="")),"Pflichtangabe fehlt","ok"))))</f>
        <v/>
      </c>
    </row>
    <row r="337">
      <c r="A337" s="13" t="n"/>
      <c r="B337" s="14" t="n"/>
      <c r="C337" s="14" t="n"/>
      <c r="D337" s="15">
        <f>IF(OR(B337="",C337=""),"",C337-B337)</f>
        <v/>
      </c>
      <c r="E337" s="14" t="n"/>
      <c r="F337" s="14" t="n"/>
      <c r="G337" s="14" t="n"/>
      <c r="H337" s="14" t="n"/>
      <c r="I337" s="16">
        <f>IF(A337="","",IF(C337&lt;B337,"km Ende &lt; km Beginn",IF(AND(ROW()&gt;5,B337&lt;&gt;"",INDEX($C$5:$C$404,ROW()-5)&lt;&gt;"",B337&lt;&gt;INDEX($C$5:$C$404,ROW()-5)),"LÜCKE im km-Stand",IF(AND(E337="betrieblich",OR(F337="",G337="",H337="")),"Pflichtangabe fehlt","ok"))))</f>
        <v/>
      </c>
    </row>
    <row r="338">
      <c r="A338" s="13" t="n"/>
      <c r="B338" s="14" t="n"/>
      <c r="C338" s="14" t="n"/>
      <c r="D338" s="15">
        <f>IF(OR(B338="",C338=""),"",C338-B338)</f>
        <v/>
      </c>
      <c r="E338" s="14" t="n"/>
      <c r="F338" s="14" t="n"/>
      <c r="G338" s="14" t="n"/>
      <c r="H338" s="14" t="n"/>
      <c r="I338" s="16">
        <f>IF(A338="","",IF(C338&lt;B338,"km Ende &lt; km Beginn",IF(AND(ROW()&gt;5,B338&lt;&gt;"",INDEX($C$5:$C$404,ROW()-5)&lt;&gt;"",B338&lt;&gt;INDEX($C$5:$C$404,ROW()-5)),"LÜCKE im km-Stand",IF(AND(E338="betrieblich",OR(F338="",G338="",H338="")),"Pflichtangabe fehlt","ok"))))</f>
        <v/>
      </c>
    </row>
    <row r="339">
      <c r="A339" s="13" t="n"/>
      <c r="B339" s="14" t="n"/>
      <c r="C339" s="14" t="n"/>
      <c r="D339" s="15">
        <f>IF(OR(B339="",C339=""),"",C339-B339)</f>
        <v/>
      </c>
      <c r="E339" s="14" t="n"/>
      <c r="F339" s="14" t="n"/>
      <c r="G339" s="14" t="n"/>
      <c r="H339" s="14" t="n"/>
      <c r="I339" s="16">
        <f>IF(A339="","",IF(C339&lt;B339,"km Ende &lt; km Beginn",IF(AND(ROW()&gt;5,B339&lt;&gt;"",INDEX($C$5:$C$404,ROW()-5)&lt;&gt;"",B339&lt;&gt;INDEX($C$5:$C$404,ROW()-5)),"LÜCKE im km-Stand",IF(AND(E339="betrieblich",OR(F339="",G339="",H339="")),"Pflichtangabe fehlt","ok"))))</f>
        <v/>
      </c>
    </row>
    <row r="340">
      <c r="A340" s="13" t="n"/>
      <c r="B340" s="14" t="n"/>
      <c r="C340" s="14" t="n"/>
      <c r="D340" s="15">
        <f>IF(OR(B340="",C340=""),"",C340-B340)</f>
        <v/>
      </c>
      <c r="E340" s="14" t="n"/>
      <c r="F340" s="14" t="n"/>
      <c r="G340" s="14" t="n"/>
      <c r="H340" s="14" t="n"/>
      <c r="I340" s="16">
        <f>IF(A340="","",IF(C340&lt;B340,"km Ende &lt; km Beginn",IF(AND(ROW()&gt;5,B340&lt;&gt;"",INDEX($C$5:$C$404,ROW()-5)&lt;&gt;"",B340&lt;&gt;INDEX($C$5:$C$404,ROW()-5)),"LÜCKE im km-Stand",IF(AND(E340="betrieblich",OR(F340="",G340="",H340="")),"Pflichtangabe fehlt","ok"))))</f>
        <v/>
      </c>
    </row>
    <row r="341">
      <c r="A341" s="13" t="n"/>
      <c r="B341" s="14" t="n"/>
      <c r="C341" s="14" t="n"/>
      <c r="D341" s="15">
        <f>IF(OR(B341="",C341=""),"",C341-B341)</f>
        <v/>
      </c>
      <c r="E341" s="14" t="n"/>
      <c r="F341" s="14" t="n"/>
      <c r="G341" s="14" t="n"/>
      <c r="H341" s="14" t="n"/>
      <c r="I341" s="16">
        <f>IF(A341="","",IF(C341&lt;B341,"km Ende &lt; km Beginn",IF(AND(ROW()&gt;5,B341&lt;&gt;"",INDEX($C$5:$C$404,ROW()-5)&lt;&gt;"",B341&lt;&gt;INDEX($C$5:$C$404,ROW()-5)),"LÜCKE im km-Stand",IF(AND(E341="betrieblich",OR(F341="",G341="",H341="")),"Pflichtangabe fehlt","ok"))))</f>
        <v/>
      </c>
    </row>
    <row r="342">
      <c r="A342" s="13" t="n"/>
      <c r="B342" s="14" t="n"/>
      <c r="C342" s="14" t="n"/>
      <c r="D342" s="15">
        <f>IF(OR(B342="",C342=""),"",C342-B342)</f>
        <v/>
      </c>
      <c r="E342" s="14" t="n"/>
      <c r="F342" s="14" t="n"/>
      <c r="G342" s="14" t="n"/>
      <c r="H342" s="14" t="n"/>
      <c r="I342" s="16">
        <f>IF(A342="","",IF(C342&lt;B342,"km Ende &lt; km Beginn",IF(AND(ROW()&gt;5,B342&lt;&gt;"",INDEX($C$5:$C$404,ROW()-5)&lt;&gt;"",B342&lt;&gt;INDEX($C$5:$C$404,ROW()-5)),"LÜCKE im km-Stand",IF(AND(E342="betrieblich",OR(F342="",G342="",H342="")),"Pflichtangabe fehlt","ok"))))</f>
        <v/>
      </c>
    </row>
    <row r="343">
      <c r="A343" s="13" t="n"/>
      <c r="B343" s="14" t="n"/>
      <c r="C343" s="14" t="n"/>
      <c r="D343" s="15">
        <f>IF(OR(B343="",C343=""),"",C343-B343)</f>
        <v/>
      </c>
      <c r="E343" s="14" t="n"/>
      <c r="F343" s="14" t="n"/>
      <c r="G343" s="14" t="n"/>
      <c r="H343" s="14" t="n"/>
      <c r="I343" s="16">
        <f>IF(A343="","",IF(C343&lt;B343,"km Ende &lt; km Beginn",IF(AND(ROW()&gt;5,B343&lt;&gt;"",INDEX($C$5:$C$404,ROW()-5)&lt;&gt;"",B343&lt;&gt;INDEX($C$5:$C$404,ROW()-5)),"LÜCKE im km-Stand",IF(AND(E343="betrieblich",OR(F343="",G343="",H343="")),"Pflichtangabe fehlt","ok"))))</f>
        <v/>
      </c>
    </row>
    <row r="344">
      <c r="A344" s="13" t="n"/>
      <c r="B344" s="14" t="n"/>
      <c r="C344" s="14" t="n"/>
      <c r="D344" s="15">
        <f>IF(OR(B344="",C344=""),"",C344-B344)</f>
        <v/>
      </c>
      <c r="E344" s="14" t="n"/>
      <c r="F344" s="14" t="n"/>
      <c r="G344" s="14" t="n"/>
      <c r="H344" s="14" t="n"/>
      <c r="I344" s="16">
        <f>IF(A344="","",IF(C344&lt;B344,"km Ende &lt; km Beginn",IF(AND(ROW()&gt;5,B344&lt;&gt;"",INDEX($C$5:$C$404,ROW()-5)&lt;&gt;"",B344&lt;&gt;INDEX($C$5:$C$404,ROW()-5)),"LÜCKE im km-Stand",IF(AND(E344="betrieblich",OR(F344="",G344="",H344="")),"Pflichtangabe fehlt","ok"))))</f>
        <v/>
      </c>
    </row>
    <row r="345">
      <c r="A345" s="13" t="n"/>
      <c r="B345" s="14" t="n"/>
      <c r="C345" s="14" t="n"/>
      <c r="D345" s="15">
        <f>IF(OR(B345="",C345=""),"",C345-B345)</f>
        <v/>
      </c>
      <c r="E345" s="14" t="n"/>
      <c r="F345" s="14" t="n"/>
      <c r="G345" s="14" t="n"/>
      <c r="H345" s="14" t="n"/>
      <c r="I345" s="16">
        <f>IF(A345="","",IF(C345&lt;B345,"km Ende &lt; km Beginn",IF(AND(ROW()&gt;5,B345&lt;&gt;"",INDEX($C$5:$C$404,ROW()-5)&lt;&gt;"",B345&lt;&gt;INDEX($C$5:$C$404,ROW()-5)),"LÜCKE im km-Stand",IF(AND(E345="betrieblich",OR(F345="",G345="",H345="")),"Pflichtangabe fehlt","ok"))))</f>
        <v/>
      </c>
    </row>
    <row r="346">
      <c r="A346" s="13" t="n"/>
      <c r="B346" s="14" t="n"/>
      <c r="C346" s="14" t="n"/>
      <c r="D346" s="15">
        <f>IF(OR(B346="",C346=""),"",C346-B346)</f>
        <v/>
      </c>
      <c r="E346" s="14" t="n"/>
      <c r="F346" s="14" t="n"/>
      <c r="G346" s="14" t="n"/>
      <c r="H346" s="14" t="n"/>
      <c r="I346" s="16">
        <f>IF(A346="","",IF(C346&lt;B346,"km Ende &lt; km Beginn",IF(AND(ROW()&gt;5,B346&lt;&gt;"",INDEX($C$5:$C$404,ROW()-5)&lt;&gt;"",B346&lt;&gt;INDEX($C$5:$C$404,ROW()-5)),"LÜCKE im km-Stand",IF(AND(E346="betrieblich",OR(F346="",G346="",H346="")),"Pflichtangabe fehlt","ok"))))</f>
        <v/>
      </c>
    </row>
    <row r="347">
      <c r="A347" s="13" t="n"/>
      <c r="B347" s="14" t="n"/>
      <c r="C347" s="14" t="n"/>
      <c r="D347" s="15">
        <f>IF(OR(B347="",C347=""),"",C347-B347)</f>
        <v/>
      </c>
      <c r="E347" s="14" t="n"/>
      <c r="F347" s="14" t="n"/>
      <c r="G347" s="14" t="n"/>
      <c r="H347" s="14" t="n"/>
      <c r="I347" s="16">
        <f>IF(A347="","",IF(C347&lt;B347,"km Ende &lt; km Beginn",IF(AND(ROW()&gt;5,B347&lt;&gt;"",INDEX($C$5:$C$404,ROW()-5)&lt;&gt;"",B347&lt;&gt;INDEX($C$5:$C$404,ROW()-5)),"LÜCKE im km-Stand",IF(AND(E347="betrieblich",OR(F347="",G347="",H347="")),"Pflichtangabe fehlt","ok"))))</f>
        <v/>
      </c>
    </row>
    <row r="348">
      <c r="A348" s="13" t="n"/>
      <c r="B348" s="14" t="n"/>
      <c r="C348" s="14" t="n"/>
      <c r="D348" s="15">
        <f>IF(OR(B348="",C348=""),"",C348-B348)</f>
        <v/>
      </c>
      <c r="E348" s="14" t="n"/>
      <c r="F348" s="14" t="n"/>
      <c r="G348" s="14" t="n"/>
      <c r="H348" s="14" t="n"/>
      <c r="I348" s="16">
        <f>IF(A348="","",IF(C348&lt;B348,"km Ende &lt; km Beginn",IF(AND(ROW()&gt;5,B348&lt;&gt;"",INDEX($C$5:$C$404,ROW()-5)&lt;&gt;"",B348&lt;&gt;INDEX($C$5:$C$404,ROW()-5)),"LÜCKE im km-Stand",IF(AND(E348="betrieblich",OR(F348="",G348="",H348="")),"Pflichtangabe fehlt","ok"))))</f>
        <v/>
      </c>
    </row>
    <row r="349">
      <c r="A349" s="13" t="n"/>
      <c r="B349" s="14" t="n"/>
      <c r="C349" s="14" t="n"/>
      <c r="D349" s="15">
        <f>IF(OR(B349="",C349=""),"",C349-B349)</f>
        <v/>
      </c>
      <c r="E349" s="14" t="n"/>
      <c r="F349" s="14" t="n"/>
      <c r="G349" s="14" t="n"/>
      <c r="H349" s="14" t="n"/>
      <c r="I349" s="16">
        <f>IF(A349="","",IF(C349&lt;B349,"km Ende &lt; km Beginn",IF(AND(ROW()&gt;5,B349&lt;&gt;"",INDEX($C$5:$C$404,ROW()-5)&lt;&gt;"",B349&lt;&gt;INDEX($C$5:$C$404,ROW()-5)),"LÜCKE im km-Stand",IF(AND(E349="betrieblich",OR(F349="",G349="",H349="")),"Pflichtangabe fehlt","ok"))))</f>
        <v/>
      </c>
    </row>
    <row r="350">
      <c r="A350" s="13" t="n"/>
      <c r="B350" s="14" t="n"/>
      <c r="C350" s="14" t="n"/>
      <c r="D350" s="15">
        <f>IF(OR(B350="",C350=""),"",C350-B350)</f>
        <v/>
      </c>
      <c r="E350" s="14" t="n"/>
      <c r="F350" s="14" t="n"/>
      <c r="G350" s="14" t="n"/>
      <c r="H350" s="14" t="n"/>
      <c r="I350" s="16">
        <f>IF(A350="","",IF(C350&lt;B350,"km Ende &lt; km Beginn",IF(AND(ROW()&gt;5,B350&lt;&gt;"",INDEX($C$5:$C$404,ROW()-5)&lt;&gt;"",B350&lt;&gt;INDEX($C$5:$C$404,ROW()-5)),"LÜCKE im km-Stand",IF(AND(E350="betrieblich",OR(F350="",G350="",H350="")),"Pflichtangabe fehlt","ok"))))</f>
        <v/>
      </c>
    </row>
    <row r="351">
      <c r="A351" s="13" t="n"/>
      <c r="B351" s="14" t="n"/>
      <c r="C351" s="14" t="n"/>
      <c r="D351" s="15">
        <f>IF(OR(B351="",C351=""),"",C351-B351)</f>
        <v/>
      </c>
      <c r="E351" s="14" t="n"/>
      <c r="F351" s="14" t="n"/>
      <c r="G351" s="14" t="n"/>
      <c r="H351" s="14" t="n"/>
      <c r="I351" s="16">
        <f>IF(A351="","",IF(C351&lt;B351,"km Ende &lt; km Beginn",IF(AND(ROW()&gt;5,B351&lt;&gt;"",INDEX($C$5:$C$404,ROW()-5)&lt;&gt;"",B351&lt;&gt;INDEX($C$5:$C$404,ROW()-5)),"LÜCKE im km-Stand",IF(AND(E351="betrieblich",OR(F351="",G351="",H351="")),"Pflichtangabe fehlt","ok"))))</f>
        <v/>
      </c>
    </row>
    <row r="352">
      <c r="A352" s="13" t="n"/>
      <c r="B352" s="14" t="n"/>
      <c r="C352" s="14" t="n"/>
      <c r="D352" s="15">
        <f>IF(OR(B352="",C352=""),"",C352-B352)</f>
        <v/>
      </c>
      <c r="E352" s="14" t="n"/>
      <c r="F352" s="14" t="n"/>
      <c r="G352" s="14" t="n"/>
      <c r="H352" s="14" t="n"/>
      <c r="I352" s="16">
        <f>IF(A352="","",IF(C352&lt;B352,"km Ende &lt; km Beginn",IF(AND(ROW()&gt;5,B352&lt;&gt;"",INDEX($C$5:$C$404,ROW()-5)&lt;&gt;"",B352&lt;&gt;INDEX($C$5:$C$404,ROW()-5)),"LÜCKE im km-Stand",IF(AND(E352="betrieblich",OR(F352="",G352="",H352="")),"Pflichtangabe fehlt","ok"))))</f>
        <v/>
      </c>
    </row>
    <row r="353">
      <c r="A353" s="13" t="n"/>
      <c r="B353" s="14" t="n"/>
      <c r="C353" s="14" t="n"/>
      <c r="D353" s="15">
        <f>IF(OR(B353="",C353=""),"",C353-B353)</f>
        <v/>
      </c>
      <c r="E353" s="14" t="n"/>
      <c r="F353" s="14" t="n"/>
      <c r="G353" s="14" t="n"/>
      <c r="H353" s="14" t="n"/>
      <c r="I353" s="16">
        <f>IF(A353="","",IF(C353&lt;B353,"km Ende &lt; km Beginn",IF(AND(ROW()&gt;5,B353&lt;&gt;"",INDEX($C$5:$C$404,ROW()-5)&lt;&gt;"",B353&lt;&gt;INDEX($C$5:$C$404,ROW()-5)),"LÜCKE im km-Stand",IF(AND(E353="betrieblich",OR(F353="",G353="",H353="")),"Pflichtangabe fehlt","ok"))))</f>
        <v/>
      </c>
    </row>
    <row r="354">
      <c r="A354" s="13" t="n"/>
      <c r="B354" s="14" t="n"/>
      <c r="C354" s="14" t="n"/>
      <c r="D354" s="15">
        <f>IF(OR(B354="",C354=""),"",C354-B354)</f>
        <v/>
      </c>
      <c r="E354" s="14" t="n"/>
      <c r="F354" s="14" t="n"/>
      <c r="G354" s="14" t="n"/>
      <c r="H354" s="14" t="n"/>
      <c r="I354" s="16">
        <f>IF(A354="","",IF(C354&lt;B354,"km Ende &lt; km Beginn",IF(AND(ROW()&gt;5,B354&lt;&gt;"",INDEX($C$5:$C$404,ROW()-5)&lt;&gt;"",B354&lt;&gt;INDEX($C$5:$C$404,ROW()-5)),"LÜCKE im km-Stand",IF(AND(E354="betrieblich",OR(F354="",G354="",H354="")),"Pflichtangabe fehlt","ok"))))</f>
        <v/>
      </c>
    </row>
    <row r="355">
      <c r="A355" s="13" t="n"/>
      <c r="B355" s="14" t="n"/>
      <c r="C355" s="14" t="n"/>
      <c r="D355" s="15">
        <f>IF(OR(B355="",C355=""),"",C355-B355)</f>
        <v/>
      </c>
      <c r="E355" s="14" t="n"/>
      <c r="F355" s="14" t="n"/>
      <c r="G355" s="14" t="n"/>
      <c r="H355" s="14" t="n"/>
      <c r="I355" s="16">
        <f>IF(A355="","",IF(C355&lt;B355,"km Ende &lt; km Beginn",IF(AND(ROW()&gt;5,B355&lt;&gt;"",INDEX($C$5:$C$404,ROW()-5)&lt;&gt;"",B355&lt;&gt;INDEX($C$5:$C$404,ROW()-5)),"LÜCKE im km-Stand",IF(AND(E355="betrieblich",OR(F355="",G355="",H355="")),"Pflichtangabe fehlt","ok"))))</f>
        <v/>
      </c>
    </row>
    <row r="356">
      <c r="A356" s="13" t="n"/>
      <c r="B356" s="14" t="n"/>
      <c r="C356" s="14" t="n"/>
      <c r="D356" s="15">
        <f>IF(OR(B356="",C356=""),"",C356-B356)</f>
        <v/>
      </c>
      <c r="E356" s="14" t="n"/>
      <c r="F356" s="14" t="n"/>
      <c r="G356" s="14" t="n"/>
      <c r="H356" s="14" t="n"/>
      <c r="I356" s="16">
        <f>IF(A356="","",IF(C356&lt;B356,"km Ende &lt; km Beginn",IF(AND(ROW()&gt;5,B356&lt;&gt;"",INDEX($C$5:$C$404,ROW()-5)&lt;&gt;"",B356&lt;&gt;INDEX($C$5:$C$404,ROW()-5)),"LÜCKE im km-Stand",IF(AND(E356="betrieblich",OR(F356="",G356="",H356="")),"Pflichtangabe fehlt","ok"))))</f>
        <v/>
      </c>
    </row>
    <row r="357">
      <c r="A357" s="13" t="n"/>
      <c r="B357" s="14" t="n"/>
      <c r="C357" s="14" t="n"/>
      <c r="D357" s="15">
        <f>IF(OR(B357="",C357=""),"",C357-B357)</f>
        <v/>
      </c>
      <c r="E357" s="14" t="n"/>
      <c r="F357" s="14" t="n"/>
      <c r="G357" s="14" t="n"/>
      <c r="H357" s="14" t="n"/>
      <c r="I357" s="16">
        <f>IF(A357="","",IF(C357&lt;B357,"km Ende &lt; km Beginn",IF(AND(ROW()&gt;5,B357&lt;&gt;"",INDEX($C$5:$C$404,ROW()-5)&lt;&gt;"",B357&lt;&gt;INDEX($C$5:$C$404,ROW()-5)),"LÜCKE im km-Stand",IF(AND(E357="betrieblich",OR(F357="",G357="",H357="")),"Pflichtangabe fehlt","ok"))))</f>
        <v/>
      </c>
    </row>
    <row r="358">
      <c r="A358" s="13" t="n"/>
      <c r="B358" s="14" t="n"/>
      <c r="C358" s="14" t="n"/>
      <c r="D358" s="15">
        <f>IF(OR(B358="",C358=""),"",C358-B358)</f>
        <v/>
      </c>
      <c r="E358" s="14" t="n"/>
      <c r="F358" s="14" t="n"/>
      <c r="G358" s="14" t="n"/>
      <c r="H358" s="14" t="n"/>
      <c r="I358" s="16">
        <f>IF(A358="","",IF(C358&lt;B358,"km Ende &lt; km Beginn",IF(AND(ROW()&gt;5,B358&lt;&gt;"",INDEX($C$5:$C$404,ROW()-5)&lt;&gt;"",B358&lt;&gt;INDEX($C$5:$C$404,ROW()-5)),"LÜCKE im km-Stand",IF(AND(E358="betrieblich",OR(F358="",G358="",H358="")),"Pflichtangabe fehlt","ok"))))</f>
        <v/>
      </c>
    </row>
    <row r="359">
      <c r="A359" s="13" t="n"/>
      <c r="B359" s="14" t="n"/>
      <c r="C359" s="14" t="n"/>
      <c r="D359" s="15">
        <f>IF(OR(B359="",C359=""),"",C359-B359)</f>
        <v/>
      </c>
      <c r="E359" s="14" t="n"/>
      <c r="F359" s="14" t="n"/>
      <c r="G359" s="14" t="n"/>
      <c r="H359" s="14" t="n"/>
      <c r="I359" s="16">
        <f>IF(A359="","",IF(C359&lt;B359,"km Ende &lt; km Beginn",IF(AND(ROW()&gt;5,B359&lt;&gt;"",INDEX($C$5:$C$404,ROW()-5)&lt;&gt;"",B359&lt;&gt;INDEX($C$5:$C$404,ROW()-5)),"LÜCKE im km-Stand",IF(AND(E359="betrieblich",OR(F359="",G359="",H359="")),"Pflichtangabe fehlt","ok"))))</f>
        <v/>
      </c>
    </row>
    <row r="360">
      <c r="A360" s="13" t="n"/>
      <c r="B360" s="14" t="n"/>
      <c r="C360" s="14" t="n"/>
      <c r="D360" s="15">
        <f>IF(OR(B360="",C360=""),"",C360-B360)</f>
        <v/>
      </c>
      <c r="E360" s="14" t="n"/>
      <c r="F360" s="14" t="n"/>
      <c r="G360" s="14" t="n"/>
      <c r="H360" s="14" t="n"/>
      <c r="I360" s="16">
        <f>IF(A360="","",IF(C360&lt;B360,"km Ende &lt; km Beginn",IF(AND(ROW()&gt;5,B360&lt;&gt;"",INDEX($C$5:$C$404,ROW()-5)&lt;&gt;"",B360&lt;&gt;INDEX($C$5:$C$404,ROW()-5)),"LÜCKE im km-Stand",IF(AND(E360="betrieblich",OR(F360="",G360="",H360="")),"Pflichtangabe fehlt","ok"))))</f>
        <v/>
      </c>
    </row>
    <row r="361">
      <c r="A361" s="13" t="n"/>
      <c r="B361" s="14" t="n"/>
      <c r="C361" s="14" t="n"/>
      <c r="D361" s="15">
        <f>IF(OR(B361="",C361=""),"",C361-B361)</f>
        <v/>
      </c>
      <c r="E361" s="14" t="n"/>
      <c r="F361" s="14" t="n"/>
      <c r="G361" s="14" t="n"/>
      <c r="H361" s="14" t="n"/>
      <c r="I361" s="16">
        <f>IF(A361="","",IF(C361&lt;B361,"km Ende &lt; km Beginn",IF(AND(ROW()&gt;5,B361&lt;&gt;"",INDEX($C$5:$C$404,ROW()-5)&lt;&gt;"",B361&lt;&gt;INDEX($C$5:$C$404,ROW()-5)),"LÜCKE im km-Stand",IF(AND(E361="betrieblich",OR(F361="",G361="",H361="")),"Pflichtangabe fehlt","ok"))))</f>
        <v/>
      </c>
    </row>
    <row r="362">
      <c r="A362" s="13" t="n"/>
      <c r="B362" s="14" t="n"/>
      <c r="C362" s="14" t="n"/>
      <c r="D362" s="15">
        <f>IF(OR(B362="",C362=""),"",C362-B362)</f>
        <v/>
      </c>
      <c r="E362" s="14" t="n"/>
      <c r="F362" s="14" t="n"/>
      <c r="G362" s="14" t="n"/>
      <c r="H362" s="14" t="n"/>
      <c r="I362" s="16">
        <f>IF(A362="","",IF(C362&lt;B362,"km Ende &lt; km Beginn",IF(AND(ROW()&gt;5,B362&lt;&gt;"",INDEX($C$5:$C$404,ROW()-5)&lt;&gt;"",B362&lt;&gt;INDEX($C$5:$C$404,ROW()-5)),"LÜCKE im km-Stand",IF(AND(E362="betrieblich",OR(F362="",G362="",H362="")),"Pflichtangabe fehlt","ok"))))</f>
        <v/>
      </c>
    </row>
    <row r="363">
      <c r="A363" s="13" t="n"/>
      <c r="B363" s="14" t="n"/>
      <c r="C363" s="14" t="n"/>
      <c r="D363" s="15">
        <f>IF(OR(B363="",C363=""),"",C363-B363)</f>
        <v/>
      </c>
      <c r="E363" s="14" t="n"/>
      <c r="F363" s="14" t="n"/>
      <c r="G363" s="14" t="n"/>
      <c r="H363" s="14" t="n"/>
      <c r="I363" s="16">
        <f>IF(A363="","",IF(C363&lt;B363,"km Ende &lt; km Beginn",IF(AND(ROW()&gt;5,B363&lt;&gt;"",INDEX($C$5:$C$404,ROW()-5)&lt;&gt;"",B363&lt;&gt;INDEX($C$5:$C$404,ROW()-5)),"LÜCKE im km-Stand",IF(AND(E363="betrieblich",OR(F363="",G363="",H363="")),"Pflichtangabe fehlt","ok"))))</f>
        <v/>
      </c>
    </row>
    <row r="364">
      <c r="A364" s="13" t="n"/>
      <c r="B364" s="14" t="n"/>
      <c r="C364" s="14" t="n"/>
      <c r="D364" s="15">
        <f>IF(OR(B364="",C364=""),"",C364-B364)</f>
        <v/>
      </c>
      <c r="E364" s="14" t="n"/>
      <c r="F364" s="14" t="n"/>
      <c r="G364" s="14" t="n"/>
      <c r="H364" s="14" t="n"/>
      <c r="I364" s="16">
        <f>IF(A364="","",IF(C364&lt;B364,"km Ende &lt; km Beginn",IF(AND(ROW()&gt;5,B364&lt;&gt;"",INDEX($C$5:$C$404,ROW()-5)&lt;&gt;"",B364&lt;&gt;INDEX($C$5:$C$404,ROW()-5)),"LÜCKE im km-Stand",IF(AND(E364="betrieblich",OR(F364="",G364="",H364="")),"Pflichtangabe fehlt","ok"))))</f>
        <v/>
      </c>
    </row>
    <row r="365">
      <c r="A365" s="13" t="n"/>
      <c r="B365" s="14" t="n"/>
      <c r="C365" s="14" t="n"/>
      <c r="D365" s="15">
        <f>IF(OR(B365="",C365=""),"",C365-B365)</f>
        <v/>
      </c>
      <c r="E365" s="14" t="n"/>
      <c r="F365" s="14" t="n"/>
      <c r="G365" s="14" t="n"/>
      <c r="H365" s="14" t="n"/>
      <c r="I365" s="16">
        <f>IF(A365="","",IF(C365&lt;B365,"km Ende &lt; km Beginn",IF(AND(ROW()&gt;5,B365&lt;&gt;"",INDEX($C$5:$C$404,ROW()-5)&lt;&gt;"",B365&lt;&gt;INDEX($C$5:$C$404,ROW()-5)),"LÜCKE im km-Stand",IF(AND(E365="betrieblich",OR(F365="",G365="",H365="")),"Pflichtangabe fehlt","ok"))))</f>
        <v/>
      </c>
    </row>
    <row r="366">
      <c r="A366" s="13" t="n"/>
      <c r="B366" s="14" t="n"/>
      <c r="C366" s="14" t="n"/>
      <c r="D366" s="15">
        <f>IF(OR(B366="",C366=""),"",C366-B366)</f>
        <v/>
      </c>
      <c r="E366" s="14" t="n"/>
      <c r="F366" s="14" t="n"/>
      <c r="G366" s="14" t="n"/>
      <c r="H366" s="14" t="n"/>
      <c r="I366" s="16">
        <f>IF(A366="","",IF(C366&lt;B366,"km Ende &lt; km Beginn",IF(AND(ROW()&gt;5,B366&lt;&gt;"",INDEX($C$5:$C$404,ROW()-5)&lt;&gt;"",B366&lt;&gt;INDEX($C$5:$C$404,ROW()-5)),"LÜCKE im km-Stand",IF(AND(E366="betrieblich",OR(F366="",G366="",H366="")),"Pflichtangabe fehlt","ok"))))</f>
        <v/>
      </c>
    </row>
    <row r="367">
      <c r="A367" s="13" t="n"/>
      <c r="B367" s="14" t="n"/>
      <c r="C367" s="14" t="n"/>
      <c r="D367" s="15">
        <f>IF(OR(B367="",C367=""),"",C367-B367)</f>
        <v/>
      </c>
      <c r="E367" s="14" t="n"/>
      <c r="F367" s="14" t="n"/>
      <c r="G367" s="14" t="n"/>
      <c r="H367" s="14" t="n"/>
      <c r="I367" s="16">
        <f>IF(A367="","",IF(C367&lt;B367,"km Ende &lt; km Beginn",IF(AND(ROW()&gt;5,B367&lt;&gt;"",INDEX($C$5:$C$404,ROW()-5)&lt;&gt;"",B367&lt;&gt;INDEX($C$5:$C$404,ROW()-5)),"LÜCKE im km-Stand",IF(AND(E367="betrieblich",OR(F367="",G367="",H367="")),"Pflichtangabe fehlt","ok"))))</f>
        <v/>
      </c>
    </row>
    <row r="368">
      <c r="A368" s="13" t="n"/>
      <c r="B368" s="14" t="n"/>
      <c r="C368" s="14" t="n"/>
      <c r="D368" s="15">
        <f>IF(OR(B368="",C368=""),"",C368-B368)</f>
        <v/>
      </c>
      <c r="E368" s="14" t="n"/>
      <c r="F368" s="14" t="n"/>
      <c r="G368" s="14" t="n"/>
      <c r="H368" s="14" t="n"/>
      <c r="I368" s="16">
        <f>IF(A368="","",IF(C368&lt;B368,"km Ende &lt; km Beginn",IF(AND(ROW()&gt;5,B368&lt;&gt;"",INDEX($C$5:$C$404,ROW()-5)&lt;&gt;"",B368&lt;&gt;INDEX($C$5:$C$404,ROW()-5)),"LÜCKE im km-Stand",IF(AND(E368="betrieblich",OR(F368="",G368="",H368="")),"Pflichtangabe fehlt","ok"))))</f>
        <v/>
      </c>
    </row>
    <row r="369">
      <c r="A369" s="13" t="n"/>
      <c r="B369" s="14" t="n"/>
      <c r="C369" s="14" t="n"/>
      <c r="D369" s="15">
        <f>IF(OR(B369="",C369=""),"",C369-B369)</f>
        <v/>
      </c>
      <c r="E369" s="14" t="n"/>
      <c r="F369" s="14" t="n"/>
      <c r="G369" s="14" t="n"/>
      <c r="H369" s="14" t="n"/>
      <c r="I369" s="16">
        <f>IF(A369="","",IF(C369&lt;B369,"km Ende &lt; km Beginn",IF(AND(ROW()&gt;5,B369&lt;&gt;"",INDEX($C$5:$C$404,ROW()-5)&lt;&gt;"",B369&lt;&gt;INDEX($C$5:$C$404,ROW()-5)),"LÜCKE im km-Stand",IF(AND(E369="betrieblich",OR(F369="",G369="",H369="")),"Pflichtangabe fehlt","ok"))))</f>
        <v/>
      </c>
    </row>
    <row r="370">
      <c r="A370" s="13" t="n"/>
      <c r="B370" s="14" t="n"/>
      <c r="C370" s="14" t="n"/>
      <c r="D370" s="15">
        <f>IF(OR(B370="",C370=""),"",C370-B370)</f>
        <v/>
      </c>
      <c r="E370" s="14" t="n"/>
      <c r="F370" s="14" t="n"/>
      <c r="G370" s="14" t="n"/>
      <c r="H370" s="14" t="n"/>
      <c r="I370" s="16">
        <f>IF(A370="","",IF(C370&lt;B370,"km Ende &lt; km Beginn",IF(AND(ROW()&gt;5,B370&lt;&gt;"",INDEX($C$5:$C$404,ROW()-5)&lt;&gt;"",B370&lt;&gt;INDEX($C$5:$C$404,ROW()-5)),"LÜCKE im km-Stand",IF(AND(E370="betrieblich",OR(F370="",G370="",H370="")),"Pflichtangabe fehlt","ok"))))</f>
        <v/>
      </c>
    </row>
    <row r="371">
      <c r="A371" s="13" t="n"/>
      <c r="B371" s="14" t="n"/>
      <c r="C371" s="14" t="n"/>
      <c r="D371" s="15">
        <f>IF(OR(B371="",C371=""),"",C371-B371)</f>
        <v/>
      </c>
      <c r="E371" s="14" t="n"/>
      <c r="F371" s="14" t="n"/>
      <c r="G371" s="14" t="n"/>
      <c r="H371" s="14" t="n"/>
      <c r="I371" s="16">
        <f>IF(A371="","",IF(C371&lt;B371,"km Ende &lt; km Beginn",IF(AND(ROW()&gt;5,B371&lt;&gt;"",INDEX($C$5:$C$404,ROW()-5)&lt;&gt;"",B371&lt;&gt;INDEX($C$5:$C$404,ROW()-5)),"LÜCKE im km-Stand",IF(AND(E371="betrieblich",OR(F371="",G371="",H371="")),"Pflichtangabe fehlt","ok"))))</f>
        <v/>
      </c>
    </row>
    <row r="372">
      <c r="A372" s="13" t="n"/>
      <c r="B372" s="14" t="n"/>
      <c r="C372" s="14" t="n"/>
      <c r="D372" s="15">
        <f>IF(OR(B372="",C372=""),"",C372-B372)</f>
        <v/>
      </c>
      <c r="E372" s="14" t="n"/>
      <c r="F372" s="14" t="n"/>
      <c r="G372" s="14" t="n"/>
      <c r="H372" s="14" t="n"/>
      <c r="I372" s="16">
        <f>IF(A372="","",IF(C372&lt;B372,"km Ende &lt; km Beginn",IF(AND(ROW()&gt;5,B372&lt;&gt;"",INDEX($C$5:$C$404,ROW()-5)&lt;&gt;"",B372&lt;&gt;INDEX($C$5:$C$404,ROW()-5)),"LÜCKE im km-Stand",IF(AND(E372="betrieblich",OR(F372="",G372="",H372="")),"Pflichtangabe fehlt","ok"))))</f>
        <v/>
      </c>
    </row>
    <row r="373">
      <c r="A373" s="13" t="n"/>
      <c r="B373" s="14" t="n"/>
      <c r="C373" s="14" t="n"/>
      <c r="D373" s="15">
        <f>IF(OR(B373="",C373=""),"",C373-B373)</f>
        <v/>
      </c>
      <c r="E373" s="14" t="n"/>
      <c r="F373" s="14" t="n"/>
      <c r="G373" s="14" t="n"/>
      <c r="H373" s="14" t="n"/>
      <c r="I373" s="16">
        <f>IF(A373="","",IF(C373&lt;B373,"km Ende &lt; km Beginn",IF(AND(ROW()&gt;5,B373&lt;&gt;"",INDEX($C$5:$C$404,ROW()-5)&lt;&gt;"",B373&lt;&gt;INDEX($C$5:$C$404,ROW()-5)),"LÜCKE im km-Stand",IF(AND(E373="betrieblich",OR(F373="",G373="",H373="")),"Pflichtangabe fehlt","ok"))))</f>
        <v/>
      </c>
    </row>
    <row r="374">
      <c r="A374" s="13" t="n"/>
      <c r="B374" s="14" t="n"/>
      <c r="C374" s="14" t="n"/>
      <c r="D374" s="15">
        <f>IF(OR(B374="",C374=""),"",C374-B374)</f>
        <v/>
      </c>
      <c r="E374" s="14" t="n"/>
      <c r="F374" s="14" t="n"/>
      <c r="G374" s="14" t="n"/>
      <c r="H374" s="14" t="n"/>
      <c r="I374" s="16">
        <f>IF(A374="","",IF(C374&lt;B374,"km Ende &lt; km Beginn",IF(AND(ROW()&gt;5,B374&lt;&gt;"",INDEX($C$5:$C$404,ROW()-5)&lt;&gt;"",B374&lt;&gt;INDEX($C$5:$C$404,ROW()-5)),"LÜCKE im km-Stand",IF(AND(E374="betrieblich",OR(F374="",G374="",H374="")),"Pflichtangabe fehlt","ok"))))</f>
        <v/>
      </c>
    </row>
    <row r="375">
      <c r="A375" s="13" t="n"/>
      <c r="B375" s="14" t="n"/>
      <c r="C375" s="14" t="n"/>
      <c r="D375" s="15">
        <f>IF(OR(B375="",C375=""),"",C375-B375)</f>
        <v/>
      </c>
      <c r="E375" s="14" t="n"/>
      <c r="F375" s="14" t="n"/>
      <c r="G375" s="14" t="n"/>
      <c r="H375" s="14" t="n"/>
      <c r="I375" s="16">
        <f>IF(A375="","",IF(C375&lt;B375,"km Ende &lt; km Beginn",IF(AND(ROW()&gt;5,B375&lt;&gt;"",INDEX($C$5:$C$404,ROW()-5)&lt;&gt;"",B375&lt;&gt;INDEX($C$5:$C$404,ROW()-5)),"LÜCKE im km-Stand",IF(AND(E375="betrieblich",OR(F375="",G375="",H375="")),"Pflichtangabe fehlt","ok"))))</f>
        <v/>
      </c>
    </row>
    <row r="376">
      <c r="A376" s="13" t="n"/>
      <c r="B376" s="14" t="n"/>
      <c r="C376" s="14" t="n"/>
      <c r="D376" s="15">
        <f>IF(OR(B376="",C376=""),"",C376-B376)</f>
        <v/>
      </c>
      <c r="E376" s="14" t="n"/>
      <c r="F376" s="14" t="n"/>
      <c r="G376" s="14" t="n"/>
      <c r="H376" s="14" t="n"/>
      <c r="I376" s="16">
        <f>IF(A376="","",IF(C376&lt;B376,"km Ende &lt; km Beginn",IF(AND(ROW()&gt;5,B376&lt;&gt;"",INDEX($C$5:$C$404,ROW()-5)&lt;&gt;"",B376&lt;&gt;INDEX($C$5:$C$404,ROW()-5)),"LÜCKE im km-Stand",IF(AND(E376="betrieblich",OR(F376="",G376="",H376="")),"Pflichtangabe fehlt","ok"))))</f>
        <v/>
      </c>
    </row>
    <row r="377">
      <c r="A377" s="13" t="n"/>
      <c r="B377" s="14" t="n"/>
      <c r="C377" s="14" t="n"/>
      <c r="D377" s="15">
        <f>IF(OR(B377="",C377=""),"",C377-B377)</f>
        <v/>
      </c>
      <c r="E377" s="14" t="n"/>
      <c r="F377" s="14" t="n"/>
      <c r="G377" s="14" t="n"/>
      <c r="H377" s="14" t="n"/>
      <c r="I377" s="16">
        <f>IF(A377="","",IF(C377&lt;B377,"km Ende &lt; km Beginn",IF(AND(ROW()&gt;5,B377&lt;&gt;"",INDEX($C$5:$C$404,ROW()-5)&lt;&gt;"",B377&lt;&gt;INDEX($C$5:$C$404,ROW()-5)),"LÜCKE im km-Stand",IF(AND(E377="betrieblich",OR(F377="",G377="",H377="")),"Pflichtangabe fehlt","ok"))))</f>
        <v/>
      </c>
    </row>
    <row r="378">
      <c r="A378" s="13" t="n"/>
      <c r="B378" s="14" t="n"/>
      <c r="C378" s="14" t="n"/>
      <c r="D378" s="15">
        <f>IF(OR(B378="",C378=""),"",C378-B378)</f>
        <v/>
      </c>
      <c r="E378" s="14" t="n"/>
      <c r="F378" s="14" t="n"/>
      <c r="G378" s="14" t="n"/>
      <c r="H378" s="14" t="n"/>
      <c r="I378" s="16">
        <f>IF(A378="","",IF(C378&lt;B378,"km Ende &lt; km Beginn",IF(AND(ROW()&gt;5,B378&lt;&gt;"",INDEX($C$5:$C$404,ROW()-5)&lt;&gt;"",B378&lt;&gt;INDEX($C$5:$C$404,ROW()-5)),"LÜCKE im km-Stand",IF(AND(E378="betrieblich",OR(F378="",G378="",H378="")),"Pflichtangabe fehlt","ok"))))</f>
        <v/>
      </c>
    </row>
    <row r="379">
      <c r="A379" s="13" t="n"/>
      <c r="B379" s="14" t="n"/>
      <c r="C379" s="14" t="n"/>
      <c r="D379" s="15">
        <f>IF(OR(B379="",C379=""),"",C379-B379)</f>
        <v/>
      </c>
      <c r="E379" s="14" t="n"/>
      <c r="F379" s="14" t="n"/>
      <c r="G379" s="14" t="n"/>
      <c r="H379" s="14" t="n"/>
      <c r="I379" s="16">
        <f>IF(A379="","",IF(C379&lt;B379,"km Ende &lt; km Beginn",IF(AND(ROW()&gt;5,B379&lt;&gt;"",INDEX($C$5:$C$404,ROW()-5)&lt;&gt;"",B379&lt;&gt;INDEX($C$5:$C$404,ROW()-5)),"LÜCKE im km-Stand",IF(AND(E379="betrieblich",OR(F379="",G379="",H379="")),"Pflichtangabe fehlt","ok"))))</f>
        <v/>
      </c>
    </row>
    <row r="380">
      <c r="A380" s="13" t="n"/>
      <c r="B380" s="14" t="n"/>
      <c r="C380" s="14" t="n"/>
      <c r="D380" s="15">
        <f>IF(OR(B380="",C380=""),"",C380-B380)</f>
        <v/>
      </c>
      <c r="E380" s="14" t="n"/>
      <c r="F380" s="14" t="n"/>
      <c r="G380" s="14" t="n"/>
      <c r="H380" s="14" t="n"/>
      <c r="I380" s="16">
        <f>IF(A380="","",IF(C380&lt;B380,"km Ende &lt; km Beginn",IF(AND(ROW()&gt;5,B380&lt;&gt;"",INDEX($C$5:$C$404,ROW()-5)&lt;&gt;"",B380&lt;&gt;INDEX($C$5:$C$404,ROW()-5)),"LÜCKE im km-Stand",IF(AND(E380="betrieblich",OR(F380="",G380="",H380="")),"Pflichtangabe fehlt","ok"))))</f>
        <v/>
      </c>
    </row>
    <row r="381">
      <c r="A381" s="13" t="n"/>
      <c r="B381" s="14" t="n"/>
      <c r="C381" s="14" t="n"/>
      <c r="D381" s="15">
        <f>IF(OR(B381="",C381=""),"",C381-B381)</f>
        <v/>
      </c>
      <c r="E381" s="14" t="n"/>
      <c r="F381" s="14" t="n"/>
      <c r="G381" s="14" t="n"/>
      <c r="H381" s="14" t="n"/>
      <c r="I381" s="16">
        <f>IF(A381="","",IF(C381&lt;B381,"km Ende &lt; km Beginn",IF(AND(ROW()&gt;5,B381&lt;&gt;"",INDEX($C$5:$C$404,ROW()-5)&lt;&gt;"",B381&lt;&gt;INDEX($C$5:$C$404,ROW()-5)),"LÜCKE im km-Stand",IF(AND(E381="betrieblich",OR(F381="",G381="",H381="")),"Pflichtangabe fehlt","ok"))))</f>
        <v/>
      </c>
    </row>
    <row r="382">
      <c r="A382" s="13" t="n"/>
      <c r="B382" s="14" t="n"/>
      <c r="C382" s="14" t="n"/>
      <c r="D382" s="15">
        <f>IF(OR(B382="",C382=""),"",C382-B382)</f>
        <v/>
      </c>
      <c r="E382" s="14" t="n"/>
      <c r="F382" s="14" t="n"/>
      <c r="G382" s="14" t="n"/>
      <c r="H382" s="14" t="n"/>
      <c r="I382" s="16">
        <f>IF(A382="","",IF(C382&lt;B382,"km Ende &lt; km Beginn",IF(AND(ROW()&gt;5,B382&lt;&gt;"",INDEX($C$5:$C$404,ROW()-5)&lt;&gt;"",B382&lt;&gt;INDEX($C$5:$C$404,ROW()-5)),"LÜCKE im km-Stand",IF(AND(E382="betrieblich",OR(F382="",G382="",H382="")),"Pflichtangabe fehlt","ok"))))</f>
        <v/>
      </c>
    </row>
    <row r="383">
      <c r="A383" s="13" t="n"/>
      <c r="B383" s="14" t="n"/>
      <c r="C383" s="14" t="n"/>
      <c r="D383" s="15">
        <f>IF(OR(B383="",C383=""),"",C383-B383)</f>
        <v/>
      </c>
      <c r="E383" s="14" t="n"/>
      <c r="F383" s="14" t="n"/>
      <c r="G383" s="14" t="n"/>
      <c r="H383" s="14" t="n"/>
      <c r="I383" s="16">
        <f>IF(A383="","",IF(C383&lt;B383,"km Ende &lt; km Beginn",IF(AND(ROW()&gt;5,B383&lt;&gt;"",INDEX($C$5:$C$404,ROW()-5)&lt;&gt;"",B383&lt;&gt;INDEX($C$5:$C$404,ROW()-5)),"LÜCKE im km-Stand",IF(AND(E383="betrieblich",OR(F383="",G383="",H383="")),"Pflichtangabe fehlt","ok"))))</f>
        <v/>
      </c>
    </row>
    <row r="384">
      <c r="A384" s="13" t="n"/>
      <c r="B384" s="14" t="n"/>
      <c r="C384" s="14" t="n"/>
      <c r="D384" s="15">
        <f>IF(OR(B384="",C384=""),"",C384-B384)</f>
        <v/>
      </c>
      <c r="E384" s="14" t="n"/>
      <c r="F384" s="14" t="n"/>
      <c r="G384" s="14" t="n"/>
      <c r="H384" s="14" t="n"/>
      <c r="I384" s="16">
        <f>IF(A384="","",IF(C384&lt;B384,"km Ende &lt; km Beginn",IF(AND(ROW()&gt;5,B384&lt;&gt;"",INDEX($C$5:$C$404,ROW()-5)&lt;&gt;"",B384&lt;&gt;INDEX($C$5:$C$404,ROW()-5)),"LÜCKE im km-Stand",IF(AND(E384="betrieblich",OR(F384="",G384="",H384="")),"Pflichtangabe fehlt","ok"))))</f>
        <v/>
      </c>
    </row>
    <row r="385">
      <c r="A385" s="13" t="n"/>
      <c r="B385" s="14" t="n"/>
      <c r="C385" s="14" t="n"/>
      <c r="D385" s="15">
        <f>IF(OR(B385="",C385=""),"",C385-B385)</f>
        <v/>
      </c>
      <c r="E385" s="14" t="n"/>
      <c r="F385" s="14" t="n"/>
      <c r="G385" s="14" t="n"/>
      <c r="H385" s="14" t="n"/>
      <c r="I385" s="16">
        <f>IF(A385="","",IF(C385&lt;B385,"km Ende &lt; km Beginn",IF(AND(ROW()&gt;5,B385&lt;&gt;"",INDEX($C$5:$C$404,ROW()-5)&lt;&gt;"",B385&lt;&gt;INDEX($C$5:$C$404,ROW()-5)),"LÜCKE im km-Stand",IF(AND(E385="betrieblich",OR(F385="",G385="",H385="")),"Pflichtangabe fehlt","ok"))))</f>
        <v/>
      </c>
    </row>
    <row r="386">
      <c r="A386" s="13" t="n"/>
      <c r="B386" s="14" t="n"/>
      <c r="C386" s="14" t="n"/>
      <c r="D386" s="15">
        <f>IF(OR(B386="",C386=""),"",C386-B386)</f>
        <v/>
      </c>
      <c r="E386" s="14" t="n"/>
      <c r="F386" s="14" t="n"/>
      <c r="G386" s="14" t="n"/>
      <c r="H386" s="14" t="n"/>
      <c r="I386" s="16">
        <f>IF(A386="","",IF(C386&lt;B386,"km Ende &lt; km Beginn",IF(AND(ROW()&gt;5,B386&lt;&gt;"",INDEX($C$5:$C$404,ROW()-5)&lt;&gt;"",B386&lt;&gt;INDEX($C$5:$C$404,ROW()-5)),"LÜCKE im km-Stand",IF(AND(E386="betrieblich",OR(F386="",G386="",H386="")),"Pflichtangabe fehlt","ok"))))</f>
        <v/>
      </c>
    </row>
    <row r="387">
      <c r="A387" s="13" t="n"/>
      <c r="B387" s="14" t="n"/>
      <c r="C387" s="14" t="n"/>
      <c r="D387" s="15">
        <f>IF(OR(B387="",C387=""),"",C387-B387)</f>
        <v/>
      </c>
      <c r="E387" s="14" t="n"/>
      <c r="F387" s="14" t="n"/>
      <c r="G387" s="14" t="n"/>
      <c r="H387" s="14" t="n"/>
      <c r="I387" s="16">
        <f>IF(A387="","",IF(C387&lt;B387,"km Ende &lt; km Beginn",IF(AND(ROW()&gt;5,B387&lt;&gt;"",INDEX($C$5:$C$404,ROW()-5)&lt;&gt;"",B387&lt;&gt;INDEX($C$5:$C$404,ROW()-5)),"LÜCKE im km-Stand",IF(AND(E387="betrieblich",OR(F387="",G387="",H387="")),"Pflichtangabe fehlt","ok"))))</f>
        <v/>
      </c>
    </row>
    <row r="388">
      <c r="A388" s="13" t="n"/>
      <c r="B388" s="14" t="n"/>
      <c r="C388" s="14" t="n"/>
      <c r="D388" s="15">
        <f>IF(OR(B388="",C388=""),"",C388-B388)</f>
        <v/>
      </c>
      <c r="E388" s="14" t="n"/>
      <c r="F388" s="14" t="n"/>
      <c r="G388" s="14" t="n"/>
      <c r="H388" s="14" t="n"/>
      <c r="I388" s="16">
        <f>IF(A388="","",IF(C388&lt;B388,"km Ende &lt; km Beginn",IF(AND(ROW()&gt;5,B388&lt;&gt;"",INDEX($C$5:$C$404,ROW()-5)&lt;&gt;"",B388&lt;&gt;INDEX($C$5:$C$404,ROW()-5)),"LÜCKE im km-Stand",IF(AND(E388="betrieblich",OR(F388="",G388="",H388="")),"Pflichtangabe fehlt","ok"))))</f>
        <v/>
      </c>
    </row>
    <row r="389">
      <c r="A389" s="13" t="n"/>
      <c r="B389" s="14" t="n"/>
      <c r="C389" s="14" t="n"/>
      <c r="D389" s="15">
        <f>IF(OR(B389="",C389=""),"",C389-B389)</f>
        <v/>
      </c>
      <c r="E389" s="14" t="n"/>
      <c r="F389" s="14" t="n"/>
      <c r="G389" s="14" t="n"/>
      <c r="H389" s="14" t="n"/>
      <c r="I389" s="16">
        <f>IF(A389="","",IF(C389&lt;B389,"km Ende &lt; km Beginn",IF(AND(ROW()&gt;5,B389&lt;&gt;"",INDEX($C$5:$C$404,ROW()-5)&lt;&gt;"",B389&lt;&gt;INDEX($C$5:$C$404,ROW()-5)),"LÜCKE im km-Stand",IF(AND(E389="betrieblich",OR(F389="",G389="",H389="")),"Pflichtangabe fehlt","ok"))))</f>
        <v/>
      </c>
    </row>
    <row r="390">
      <c r="A390" s="13" t="n"/>
      <c r="B390" s="14" t="n"/>
      <c r="C390" s="14" t="n"/>
      <c r="D390" s="15">
        <f>IF(OR(B390="",C390=""),"",C390-B390)</f>
        <v/>
      </c>
      <c r="E390" s="14" t="n"/>
      <c r="F390" s="14" t="n"/>
      <c r="G390" s="14" t="n"/>
      <c r="H390" s="14" t="n"/>
      <c r="I390" s="16">
        <f>IF(A390="","",IF(C390&lt;B390,"km Ende &lt; km Beginn",IF(AND(ROW()&gt;5,B390&lt;&gt;"",INDEX($C$5:$C$404,ROW()-5)&lt;&gt;"",B390&lt;&gt;INDEX($C$5:$C$404,ROW()-5)),"LÜCKE im km-Stand",IF(AND(E390="betrieblich",OR(F390="",G390="",H390="")),"Pflichtangabe fehlt","ok"))))</f>
        <v/>
      </c>
    </row>
    <row r="391">
      <c r="A391" s="13" t="n"/>
      <c r="B391" s="14" t="n"/>
      <c r="C391" s="14" t="n"/>
      <c r="D391" s="15">
        <f>IF(OR(B391="",C391=""),"",C391-B391)</f>
        <v/>
      </c>
      <c r="E391" s="14" t="n"/>
      <c r="F391" s="14" t="n"/>
      <c r="G391" s="14" t="n"/>
      <c r="H391" s="14" t="n"/>
      <c r="I391" s="16">
        <f>IF(A391="","",IF(C391&lt;B391,"km Ende &lt; km Beginn",IF(AND(ROW()&gt;5,B391&lt;&gt;"",INDEX($C$5:$C$404,ROW()-5)&lt;&gt;"",B391&lt;&gt;INDEX($C$5:$C$404,ROW()-5)),"LÜCKE im km-Stand",IF(AND(E391="betrieblich",OR(F391="",G391="",H391="")),"Pflichtangabe fehlt","ok"))))</f>
        <v/>
      </c>
    </row>
    <row r="392">
      <c r="A392" s="13" t="n"/>
      <c r="B392" s="14" t="n"/>
      <c r="C392" s="14" t="n"/>
      <c r="D392" s="15">
        <f>IF(OR(B392="",C392=""),"",C392-B392)</f>
        <v/>
      </c>
      <c r="E392" s="14" t="n"/>
      <c r="F392" s="14" t="n"/>
      <c r="G392" s="14" t="n"/>
      <c r="H392" s="14" t="n"/>
      <c r="I392" s="16">
        <f>IF(A392="","",IF(C392&lt;B392,"km Ende &lt; km Beginn",IF(AND(ROW()&gt;5,B392&lt;&gt;"",INDEX($C$5:$C$404,ROW()-5)&lt;&gt;"",B392&lt;&gt;INDEX($C$5:$C$404,ROW()-5)),"LÜCKE im km-Stand",IF(AND(E392="betrieblich",OR(F392="",G392="",H392="")),"Pflichtangabe fehlt","ok"))))</f>
        <v/>
      </c>
    </row>
    <row r="393">
      <c r="A393" s="13" t="n"/>
      <c r="B393" s="14" t="n"/>
      <c r="C393" s="14" t="n"/>
      <c r="D393" s="15">
        <f>IF(OR(B393="",C393=""),"",C393-B393)</f>
        <v/>
      </c>
      <c r="E393" s="14" t="n"/>
      <c r="F393" s="14" t="n"/>
      <c r="G393" s="14" t="n"/>
      <c r="H393" s="14" t="n"/>
      <c r="I393" s="16">
        <f>IF(A393="","",IF(C393&lt;B393,"km Ende &lt; km Beginn",IF(AND(ROW()&gt;5,B393&lt;&gt;"",INDEX($C$5:$C$404,ROW()-5)&lt;&gt;"",B393&lt;&gt;INDEX($C$5:$C$404,ROW()-5)),"LÜCKE im km-Stand",IF(AND(E393="betrieblich",OR(F393="",G393="",H393="")),"Pflichtangabe fehlt","ok"))))</f>
        <v/>
      </c>
    </row>
    <row r="394">
      <c r="A394" s="13" t="n"/>
      <c r="B394" s="14" t="n"/>
      <c r="C394" s="14" t="n"/>
      <c r="D394" s="15">
        <f>IF(OR(B394="",C394=""),"",C394-B394)</f>
        <v/>
      </c>
      <c r="E394" s="14" t="n"/>
      <c r="F394" s="14" t="n"/>
      <c r="G394" s="14" t="n"/>
      <c r="H394" s="14" t="n"/>
      <c r="I394" s="16">
        <f>IF(A394="","",IF(C394&lt;B394,"km Ende &lt; km Beginn",IF(AND(ROW()&gt;5,B394&lt;&gt;"",INDEX($C$5:$C$404,ROW()-5)&lt;&gt;"",B394&lt;&gt;INDEX($C$5:$C$404,ROW()-5)),"LÜCKE im km-Stand",IF(AND(E394="betrieblich",OR(F394="",G394="",H394="")),"Pflichtangabe fehlt","ok"))))</f>
        <v/>
      </c>
    </row>
    <row r="395">
      <c r="A395" s="13" t="n"/>
      <c r="B395" s="14" t="n"/>
      <c r="C395" s="14" t="n"/>
      <c r="D395" s="15">
        <f>IF(OR(B395="",C395=""),"",C395-B395)</f>
        <v/>
      </c>
      <c r="E395" s="14" t="n"/>
      <c r="F395" s="14" t="n"/>
      <c r="G395" s="14" t="n"/>
      <c r="H395" s="14" t="n"/>
      <c r="I395" s="16">
        <f>IF(A395="","",IF(C395&lt;B395,"km Ende &lt; km Beginn",IF(AND(ROW()&gt;5,B395&lt;&gt;"",INDEX($C$5:$C$404,ROW()-5)&lt;&gt;"",B395&lt;&gt;INDEX($C$5:$C$404,ROW()-5)),"LÜCKE im km-Stand",IF(AND(E395="betrieblich",OR(F395="",G395="",H395="")),"Pflichtangabe fehlt","ok"))))</f>
        <v/>
      </c>
    </row>
    <row r="396">
      <c r="A396" s="13" t="n"/>
      <c r="B396" s="14" t="n"/>
      <c r="C396" s="14" t="n"/>
      <c r="D396" s="15">
        <f>IF(OR(B396="",C396=""),"",C396-B396)</f>
        <v/>
      </c>
      <c r="E396" s="14" t="n"/>
      <c r="F396" s="14" t="n"/>
      <c r="G396" s="14" t="n"/>
      <c r="H396" s="14" t="n"/>
      <c r="I396" s="16">
        <f>IF(A396="","",IF(C396&lt;B396,"km Ende &lt; km Beginn",IF(AND(ROW()&gt;5,B396&lt;&gt;"",INDEX($C$5:$C$404,ROW()-5)&lt;&gt;"",B396&lt;&gt;INDEX($C$5:$C$404,ROW()-5)),"LÜCKE im km-Stand",IF(AND(E396="betrieblich",OR(F396="",G396="",H396="")),"Pflichtangabe fehlt","ok"))))</f>
        <v/>
      </c>
    </row>
    <row r="397">
      <c r="A397" s="13" t="n"/>
      <c r="B397" s="14" t="n"/>
      <c r="C397" s="14" t="n"/>
      <c r="D397" s="15">
        <f>IF(OR(B397="",C397=""),"",C397-B397)</f>
        <v/>
      </c>
      <c r="E397" s="14" t="n"/>
      <c r="F397" s="14" t="n"/>
      <c r="G397" s="14" t="n"/>
      <c r="H397" s="14" t="n"/>
      <c r="I397" s="16">
        <f>IF(A397="","",IF(C397&lt;B397,"km Ende &lt; km Beginn",IF(AND(ROW()&gt;5,B397&lt;&gt;"",INDEX($C$5:$C$404,ROW()-5)&lt;&gt;"",B397&lt;&gt;INDEX($C$5:$C$404,ROW()-5)),"LÜCKE im km-Stand",IF(AND(E397="betrieblich",OR(F397="",G397="",H397="")),"Pflichtangabe fehlt","ok"))))</f>
        <v/>
      </c>
    </row>
    <row r="398">
      <c r="A398" s="13" t="n"/>
      <c r="B398" s="14" t="n"/>
      <c r="C398" s="14" t="n"/>
      <c r="D398" s="15">
        <f>IF(OR(B398="",C398=""),"",C398-B398)</f>
        <v/>
      </c>
      <c r="E398" s="14" t="n"/>
      <c r="F398" s="14" t="n"/>
      <c r="G398" s="14" t="n"/>
      <c r="H398" s="14" t="n"/>
      <c r="I398" s="16">
        <f>IF(A398="","",IF(C398&lt;B398,"km Ende &lt; km Beginn",IF(AND(ROW()&gt;5,B398&lt;&gt;"",INDEX($C$5:$C$404,ROW()-5)&lt;&gt;"",B398&lt;&gt;INDEX($C$5:$C$404,ROW()-5)),"LÜCKE im km-Stand",IF(AND(E398="betrieblich",OR(F398="",G398="",H398="")),"Pflichtangabe fehlt","ok"))))</f>
        <v/>
      </c>
    </row>
    <row r="399">
      <c r="A399" s="13" t="n"/>
      <c r="B399" s="14" t="n"/>
      <c r="C399" s="14" t="n"/>
      <c r="D399" s="15">
        <f>IF(OR(B399="",C399=""),"",C399-B399)</f>
        <v/>
      </c>
      <c r="E399" s="14" t="n"/>
      <c r="F399" s="14" t="n"/>
      <c r="G399" s="14" t="n"/>
      <c r="H399" s="14" t="n"/>
      <c r="I399" s="16">
        <f>IF(A399="","",IF(C399&lt;B399,"km Ende &lt; km Beginn",IF(AND(ROW()&gt;5,B399&lt;&gt;"",INDEX($C$5:$C$404,ROW()-5)&lt;&gt;"",B399&lt;&gt;INDEX($C$5:$C$404,ROW()-5)),"LÜCKE im km-Stand",IF(AND(E399="betrieblich",OR(F399="",G399="",H399="")),"Pflichtangabe fehlt","ok"))))</f>
        <v/>
      </c>
    </row>
    <row r="400">
      <c r="A400" s="13" t="n"/>
      <c r="B400" s="14" t="n"/>
      <c r="C400" s="14" t="n"/>
      <c r="D400" s="15">
        <f>IF(OR(B400="",C400=""),"",C400-B400)</f>
        <v/>
      </c>
      <c r="E400" s="14" t="n"/>
      <c r="F400" s="14" t="n"/>
      <c r="G400" s="14" t="n"/>
      <c r="H400" s="14" t="n"/>
      <c r="I400" s="16">
        <f>IF(A400="","",IF(C400&lt;B400,"km Ende &lt; km Beginn",IF(AND(ROW()&gt;5,B400&lt;&gt;"",INDEX($C$5:$C$404,ROW()-5)&lt;&gt;"",B400&lt;&gt;INDEX($C$5:$C$404,ROW()-5)),"LÜCKE im km-Stand",IF(AND(E400="betrieblich",OR(F400="",G400="",H400="")),"Pflichtangabe fehlt","ok"))))</f>
        <v/>
      </c>
    </row>
    <row r="401">
      <c r="A401" s="13" t="n"/>
      <c r="B401" s="14" t="n"/>
      <c r="C401" s="14" t="n"/>
      <c r="D401" s="15">
        <f>IF(OR(B401="",C401=""),"",C401-B401)</f>
        <v/>
      </c>
      <c r="E401" s="14" t="n"/>
      <c r="F401" s="14" t="n"/>
      <c r="G401" s="14" t="n"/>
      <c r="H401" s="14" t="n"/>
      <c r="I401" s="16">
        <f>IF(A401="","",IF(C401&lt;B401,"km Ende &lt; km Beginn",IF(AND(ROW()&gt;5,B401&lt;&gt;"",INDEX($C$5:$C$404,ROW()-5)&lt;&gt;"",B401&lt;&gt;INDEX($C$5:$C$404,ROW()-5)),"LÜCKE im km-Stand",IF(AND(E401="betrieblich",OR(F401="",G401="",H401="")),"Pflichtangabe fehlt","ok"))))</f>
        <v/>
      </c>
    </row>
    <row r="402">
      <c r="A402" s="13" t="n"/>
      <c r="B402" s="14" t="n"/>
      <c r="C402" s="14" t="n"/>
      <c r="D402" s="15">
        <f>IF(OR(B402="",C402=""),"",C402-B402)</f>
        <v/>
      </c>
      <c r="E402" s="14" t="n"/>
      <c r="F402" s="14" t="n"/>
      <c r="G402" s="14" t="n"/>
      <c r="H402" s="14" t="n"/>
      <c r="I402" s="16">
        <f>IF(A402="","",IF(C402&lt;B402,"km Ende &lt; km Beginn",IF(AND(ROW()&gt;5,B402&lt;&gt;"",INDEX($C$5:$C$404,ROW()-5)&lt;&gt;"",B402&lt;&gt;INDEX($C$5:$C$404,ROW()-5)),"LÜCKE im km-Stand",IF(AND(E402="betrieblich",OR(F402="",G402="",H402="")),"Pflichtangabe fehlt","ok"))))</f>
        <v/>
      </c>
    </row>
    <row r="403">
      <c r="A403" s="13" t="n"/>
      <c r="B403" s="14" t="n"/>
      <c r="C403" s="14" t="n"/>
      <c r="D403" s="15">
        <f>IF(OR(B403="",C403=""),"",C403-B403)</f>
        <v/>
      </c>
      <c r="E403" s="14" t="n"/>
      <c r="F403" s="14" t="n"/>
      <c r="G403" s="14" t="n"/>
      <c r="H403" s="14" t="n"/>
      <c r="I403" s="16">
        <f>IF(A403="","",IF(C403&lt;B403,"km Ende &lt; km Beginn",IF(AND(ROW()&gt;5,B403&lt;&gt;"",INDEX($C$5:$C$404,ROW()-5)&lt;&gt;"",B403&lt;&gt;INDEX($C$5:$C$404,ROW()-5)),"LÜCKE im km-Stand",IF(AND(E403="betrieblich",OR(F403="",G403="",H403="")),"Pflichtangabe fehlt","ok"))))</f>
        <v/>
      </c>
    </row>
    <row r="404">
      <c r="A404" s="13" t="n"/>
      <c r="B404" s="14" t="n"/>
      <c r="C404" s="14" t="n"/>
      <c r="D404" s="15">
        <f>IF(OR(B404="",C404=""),"",C404-B404)</f>
        <v/>
      </c>
      <c r="E404" s="14" t="n"/>
      <c r="F404" s="14" t="n"/>
      <c r="G404" s="14" t="n"/>
      <c r="H404" s="14" t="n"/>
      <c r="I404" s="16">
        <f>IF(A404="","",IF(C404&lt;B404,"km Ende &lt; km Beginn",IF(AND(ROW()&gt;5,B404&lt;&gt;"",INDEX($C$5:$C$404,ROW()-5)&lt;&gt;"",B404&lt;&gt;INDEX($C$5:$C$404,ROW()-5)),"LÜCKE im km-Stand",IF(AND(E404="betrieblich",OR(F404="",G404="",H404="")),"Pflichtangabe fehlt","ok"))))</f>
        <v/>
      </c>
    </row>
  </sheetData>
  <dataValidations count="1">
    <dataValidation sqref="E5:E404" showDropDown="0" showInputMessage="0" showErrorMessage="0" allowBlank="1" errorTitle="Unbekannte Fahrtart" error="Bitte betrieblich, Fahrt Wohnung–Betrieb oder privat wählen." type="list">
      <formula1>"betrieblich,Fahrt Wohnung–Betrieb,privat"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48" customWidth="1" min="4" max="4"/>
  </cols>
  <sheetData>
    <row r="2">
      <c r="B2" s="5" t="inlineStr">
        <is>
          <t>Auswertung</t>
        </is>
      </c>
    </row>
    <row r="5">
      <c r="B5" s="17" t="inlineStr">
        <is>
          <t>Gefahrene Kilometer</t>
        </is>
      </c>
      <c r="C5" s="18" t="n"/>
      <c r="D5" s="18" t="n"/>
    </row>
    <row r="6">
      <c r="B6" s="19" t="inlineStr">
        <is>
          <t>betrieblich</t>
        </is>
      </c>
      <c r="C6" s="20">
        <f>SUMIF(Fahrtenbuch!$E$5:$E$404,"betrieblich",Fahrtenbuch!$D$5:$D$404)</f>
        <v/>
      </c>
    </row>
    <row r="7">
      <c r="B7" s="19" t="inlineStr">
        <is>
          <t>Fahrten Wohnung–Betrieb</t>
        </is>
      </c>
      <c r="C7" s="20">
        <f>SUMIF(Fahrtenbuch!$E$5:$E$404,"Fahrt Wohnung–Betrieb",Fahrtenbuch!$D$5:$D$404)</f>
        <v/>
      </c>
    </row>
    <row r="8">
      <c r="B8" s="19" t="inlineStr">
        <is>
          <t>privat</t>
        </is>
      </c>
      <c r="C8" s="20">
        <f>SUMIF(Fahrtenbuch!$E$5:$E$404,"privat",Fahrtenbuch!$D$5:$D$404)</f>
        <v/>
      </c>
    </row>
    <row r="9">
      <c r="B9" s="7" t="inlineStr">
        <is>
          <t>Gesamt</t>
        </is>
      </c>
      <c r="C9" s="21">
        <f>C6+C7+C8</f>
        <v/>
      </c>
    </row>
    <row r="10">
      <c r="B10" s="7" t="inlineStr">
        <is>
          <t>Privatanteil in Prozent</t>
        </is>
      </c>
      <c r="C10" s="22">
        <f>IF(C9=0,0,C8/C9)</f>
        <v/>
      </c>
      <c r="D10" s="10" t="inlineStr">
        <is>
          <t>Nur dieser Anteil der Fahrzeugkosten ist privat und muss versteuert werden.</t>
        </is>
      </c>
    </row>
    <row r="12">
      <c r="B12" s="17" t="inlineStr">
        <is>
          <t>Vergleich: Fahrtenbuch oder 1-%-Regelung</t>
        </is>
      </c>
      <c r="C12" s="18" t="n"/>
      <c r="D12" s="18" t="n"/>
    </row>
    <row r="13">
      <c r="B13" s="19" t="inlineStr">
        <is>
          <t>Geldwerter Vorteil laut Fahrtenbuch</t>
        </is>
      </c>
      <c r="C13" s="23">
        <f>Fahrzeug!C11*C10</f>
        <v/>
      </c>
      <c r="D13" s="10" t="inlineStr">
        <is>
          <t>Tatsächliche Kosten mal Privatanteil.</t>
        </is>
      </c>
    </row>
    <row r="14">
      <c r="B14" s="19" t="inlineStr">
        <is>
          <t>Geldwerter Vorteil laut 1-%-Regelung</t>
        </is>
      </c>
      <c r="C14" s="23">
        <f>Fahrzeug!C7*0.01*12</f>
        <v/>
      </c>
      <c r="D14" s="10" t="inlineStr">
        <is>
          <t>1 % des Bruttolistenpreises pro Monat.</t>
        </is>
      </c>
    </row>
    <row r="15">
      <c r="B15" s="7" t="inlineStr">
        <is>
          <t>Unterschied</t>
        </is>
      </c>
      <c r="C15" s="24">
        <f>C14-C13</f>
        <v/>
      </c>
      <c r="D15" s="10" t="inlineStr">
        <is>
          <t>Positiv heißt: Das Fahrtenbuch spart dir diesen Betrag an zu versteuerndem Vorteil.</t>
        </is>
      </c>
    </row>
    <row r="16">
      <c r="B16" s="7" t="inlineStr">
        <is>
          <t>Steuerersparnis geschätzt</t>
        </is>
      </c>
      <c r="C16" s="25">
        <f>MAX(0,C15)*Fahrzeug!C12</f>
        <v/>
      </c>
      <c r="D16" s="10" t="inlineStr">
        <is>
          <t>Grobe Näherung mit deinem Steuersatz.</t>
        </is>
      </c>
    </row>
    <row r="18">
      <c r="B18" s="26" t="inlineStr">
        <is>
          <t>EMPFEHLUNG</t>
        </is>
      </c>
      <c r="C18" s="27">
        <f>IF(C9=0,"Noch keine Fahrten erfasst",IF(C15&gt;0,"Fahrtenbuch lohnt sich","1-%-Regelung ist günstiger"))</f>
        <v/>
      </c>
    </row>
    <row r="20">
      <c r="B20" s="17" t="inlineStr">
        <is>
          <t>Kontrolle der Vollständigkeit</t>
        </is>
      </c>
      <c r="C20" s="18" t="n"/>
      <c r="D20" s="18" t="n"/>
    </row>
    <row r="21">
      <c r="B21" s="19" t="inlineStr">
        <is>
          <t>Fahrten erfasst</t>
        </is>
      </c>
      <c r="C21" s="28">
        <f>COUNTIF(Fahrtenbuch!$A$5:$A$404,"&lt;&gt;")</f>
        <v/>
      </c>
    </row>
    <row r="22">
      <c r="B22" s="7" t="inlineStr">
        <is>
          <t>Beanstandete Zeilen</t>
        </is>
      </c>
      <c r="C22" s="29">
        <f>COUNTIFS(Fahrtenbuch!$I$5:$I$404,"&lt;&gt;ok",Fahrtenbuch!$I$5:$I$404,"&lt;&gt;")</f>
        <v/>
      </c>
      <c r="D22" s="10" t="inlineStr">
        <is>
          <t>Muss 0 sein. Die Spalte „Prüfung“ im Fahrtenbuch zeigt, was fehlt.</t>
        </is>
      </c>
    </row>
    <row r="24">
      <c r="B24" s="30" t="inlineStr">
        <is>
          <t>Denk daran: monatlich ausdrucken oder als PDF sichern.</t>
        </is>
      </c>
    </row>
    <row r="25">
      <c r="B25" s="31" t="inlineStr">
        <is>
          <t>Eine Excel-Datei allein erfüllt die geschlossene Form nicht.</t>
        </is>
      </c>
    </row>
    <row r="27">
      <c r="B27" s="32" t="inlineStr">
        <is>
          <t>Arbeitshilfe, keine Steuerberatung. Stand: August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2026-08-05T11:36:07Z</dcterms:created>
  <dcterms:modified xsi:type="dcterms:W3CDTF">2026-08-05T11:36:08Z</dcterms:modified>
</cp:coreProperties>
</file>