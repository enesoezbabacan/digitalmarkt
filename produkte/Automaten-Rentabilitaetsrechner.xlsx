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leitung" sheetId="1" state="visible" r:id="rId1"/>
    <sheet name="Produktkalkulation" sheetId="2" state="visible" r:id="rId2"/>
    <sheet name="Standort-Rechner" sheetId="3" state="visible" r:id="rId3"/>
    <sheet name="Standortvergleich" sheetId="4" state="visible" r:id="rId4"/>
    <sheet name="Nachschlagen" sheetId="5" state="visible" r:id="rId5"/>
  </sheets>
  <definedNames/>
  <calcPr calcId="124519" fullCalcOnLoad="1"/>
</workbook>
</file>

<file path=xl/styles.xml><?xml version="1.0" encoding="utf-8"?>
<styleSheet xmlns="http://schemas.openxmlformats.org/spreadsheetml/2006/main">
  <numFmts count="5">
    <numFmt numFmtId="164" formatCode="#,##0.00 &quot;€&quot;;[Red]-#,##0.00 &quot;€&quot;;&quot;–&quot;"/>
    <numFmt numFmtId="165" formatCode="0.0%"/>
    <numFmt numFmtId="166" formatCode="#,##0;[Red]-#,##0;&quot;–&quot;"/>
    <numFmt numFmtId="167" formatCode="0.000"/>
    <numFmt numFmtId="168" formatCode="#,##0.0;[Red]-#,##0.0;&quot;–&quot;"/>
  </numFmts>
  <fonts count="21">
    <font>
      <name val="Calibri"/>
      <family val="2"/>
      <color theme="1"/>
      <sz val="11"/>
      <scheme val="minor"/>
    </font>
    <font>
      <name val="Arial"/>
      <b val="1"/>
      <color rgb="001F3864"/>
      <sz val="18"/>
    </font>
    <font>
      <name val="Arial"/>
      <b val="1"/>
      <color rgb="00000000"/>
      <sz val="12"/>
    </font>
    <font>
      <name val="Arial"/>
      <color rgb="00000000"/>
      <sz val="10"/>
    </font>
    <font>
      <name val="Arial"/>
      <b val="1"/>
      <color rgb="001F3864"/>
      <sz val="11"/>
    </font>
    <font>
      <name val="Arial"/>
      <color rgb="00C00000"/>
      <sz val="10"/>
    </font>
    <font>
      <name val="Arial"/>
      <color rgb="00808080"/>
      <sz val="9"/>
    </font>
    <font>
      <name val="Arial"/>
      <b val="1"/>
      <color rgb="001F3864"/>
      <sz val="16"/>
    </font>
    <font>
      <name val="Arial"/>
      <color rgb="00595959"/>
      <sz val="10"/>
    </font>
    <font>
      <name val="Arial"/>
      <b val="1"/>
      <color rgb="00FFFFFF"/>
      <sz val="10"/>
    </font>
    <font>
      <name val="Arial"/>
      <color rgb="000000FF"/>
      <sz val="10"/>
    </font>
    <font>
      <name val="Arial"/>
      <sz val="10"/>
    </font>
    <font>
      <name val="Arial"/>
      <b val="1"/>
      <sz val="10"/>
    </font>
    <font>
      <name val="Arial"/>
      <color rgb="00595959"/>
      <sz val="9"/>
    </font>
    <font>
      <name val="Arial"/>
      <b val="1"/>
      <sz val="12"/>
    </font>
    <font>
      <name val="Arial"/>
      <b val="1"/>
      <color rgb="00006100"/>
      <sz val="12"/>
    </font>
    <font>
      <name val="Arial"/>
      <b val="1"/>
      <sz val="11"/>
    </font>
    <font>
      <name val="Arial"/>
      <b val="1"/>
      <color rgb="00FFFFFF"/>
      <sz val="12"/>
    </font>
    <font>
      <name val="Arial"/>
      <sz val="11"/>
    </font>
    <font>
      <name val="Arial"/>
      <color rgb="000000FF"/>
      <sz val="11"/>
    </font>
    <font>
      <name val="Arial"/>
      <b val="1"/>
      <color rgb="001F3864"/>
      <sz val="12"/>
    </font>
  </fonts>
  <fills count="6">
    <fill>
      <patternFill/>
    </fill>
    <fill>
      <patternFill patternType="gray125"/>
    </fill>
    <fill>
      <patternFill patternType="solid">
        <fgColor rgb="001F3864"/>
      </patternFill>
    </fill>
    <fill>
      <patternFill patternType="solid">
        <fgColor rgb="00FFF2CC"/>
      </patternFill>
    </fill>
    <fill>
      <patternFill patternType="solid">
        <fgColor rgb="00E2EFDA"/>
      </patternFill>
    </fill>
    <fill>
      <patternFill patternType="solid">
        <fgColor rgb="00D9E2F3"/>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pivotButton="0" quotePrefix="0" xfId="0"/>
    <xf numFmtId="0" fontId="8" fillId="0" borderId="0" pivotButton="0" quotePrefix="0" xfId="0"/>
    <xf numFmtId="0" fontId="9" fillId="2" borderId="1" applyAlignment="1" pivotButton="0" quotePrefix="0" xfId="0">
      <alignment horizontal="center" vertical="center" wrapText="1"/>
    </xf>
    <xf numFmtId="0" fontId="10" fillId="3" borderId="1" pivotButton="0" quotePrefix="0" xfId="0"/>
    <xf numFmtId="164" fontId="10" fillId="3" borderId="1" pivotButton="0" quotePrefix="0" xfId="0"/>
    <xf numFmtId="165" fontId="10" fillId="3" borderId="1" pivotButton="0" quotePrefix="0" xfId="0"/>
    <xf numFmtId="164" fontId="11" fillId="0" borderId="1" pivotButton="0" quotePrefix="0" xfId="0"/>
    <xf numFmtId="164" fontId="12" fillId="4" borderId="1" pivotButton="0" quotePrefix="0" xfId="0"/>
    <xf numFmtId="165" fontId="11" fillId="0" borderId="1" pivotButton="0" quotePrefix="0" xfId="0"/>
    <xf numFmtId="0" fontId="13" fillId="0" borderId="1" pivotButton="0" quotePrefix="0" xfId="0"/>
    <xf numFmtId="0" fontId="14" fillId="0" borderId="0" pivotButton="0" quotePrefix="0" xfId="0"/>
    <xf numFmtId="164" fontId="15" fillId="4" borderId="1" pivotButton="0" quotePrefix="0" xfId="0"/>
    <xf numFmtId="0" fontId="13" fillId="0" borderId="0" pivotButton="0" quotePrefix="0" xfId="0"/>
    <xf numFmtId="0" fontId="16" fillId="0" borderId="0" pivotButton="0" quotePrefix="0" xfId="0"/>
    <xf numFmtId="164" fontId="16" fillId="0" borderId="1" pivotButton="0" quotePrefix="0" xfId="0"/>
    <xf numFmtId="165" fontId="16" fillId="0" borderId="1" pivotButton="0" quotePrefix="0" xfId="0"/>
    <xf numFmtId="0" fontId="17" fillId="2" borderId="0" pivotButton="0" quotePrefix="0" xfId="0"/>
    <xf numFmtId="0" fontId="0" fillId="2" borderId="0" pivotButton="0" quotePrefix="0" xfId="0"/>
    <xf numFmtId="0" fontId="18" fillId="0" borderId="1" applyAlignment="1" pivotButton="0" quotePrefix="0" xfId="0">
      <alignment vertical="center" wrapText="1"/>
    </xf>
    <xf numFmtId="0" fontId="19" fillId="3" borderId="1" pivotButton="0" quotePrefix="0" xfId="0"/>
    <xf numFmtId="166" fontId="19" fillId="3" borderId="1" pivotButton="0" quotePrefix="0" xfId="0"/>
    <xf numFmtId="0" fontId="13" fillId="0" borderId="0" applyAlignment="1" pivotButton="0" quotePrefix="0" xfId="0">
      <alignment vertical="center" wrapText="1"/>
    </xf>
    <xf numFmtId="167" fontId="19" fillId="3" borderId="1" pivotButton="0" quotePrefix="0" xfId="0"/>
    <xf numFmtId="168" fontId="18" fillId="0" borderId="1" pivotButton="0" quotePrefix="0" xfId="0"/>
    <xf numFmtId="166" fontId="18" fillId="0" borderId="1" pivotButton="0" quotePrefix="0" xfId="0"/>
    <xf numFmtId="164" fontId="18" fillId="0" borderId="1" pivotButton="0" quotePrefix="0" xfId="0"/>
    <xf numFmtId="0" fontId="16" fillId="0" borderId="1" applyAlignment="1" pivotButton="0" quotePrefix="0" xfId="0">
      <alignment vertical="center" wrapText="1"/>
    </xf>
    <xf numFmtId="164" fontId="16" fillId="5" borderId="1" pivotButton="0" quotePrefix="0" xfId="0"/>
    <xf numFmtId="164" fontId="19" fillId="3" borderId="1" pivotButton="0" quotePrefix="0" xfId="0"/>
    <xf numFmtId="165" fontId="19" fillId="3" borderId="1" pivotButton="0" quotePrefix="0" xfId="0"/>
    <xf numFmtId="168" fontId="19" fillId="3" borderId="1" pivotButton="0" quotePrefix="0" xfId="0"/>
    <xf numFmtId="164" fontId="16" fillId="4" borderId="1" pivotButton="0" quotePrefix="0" xfId="0"/>
    <xf numFmtId="168" fontId="16" fillId="3" borderId="1" pivotButton="0" quotePrefix="0" xfId="0"/>
    <xf numFmtId="165" fontId="18" fillId="0" borderId="1" pivotButton="0" quotePrefix="0" xfId="0"/>
    <xf numFmtId="168" fontId="16" fillId="5" borderId="1" pivotButton="0" quotePrefix="0" xfId="0"/>
    <xf numFmtId="0" fontId="4" fillId="0" borderId="1" applyAlignment="1" pivotButton="0" quotePrefix="0" xfId="0">
      <alignment vertical="center" wrapText="1"/>
    </xf>
    <xf numFmtId="0" fontId="0" fillId="0" borderId="4" pivotButton="0" quotePrefix="0" xfId="0"/>
    <xf numFmtId="0" fontId="12" fillId="0" borderId="1" pivotButton="0" quotePrefix="0" xfId="0"/>
    <xf numFmtId="166" fontId="10" fillId="3" borderId="1" pivotButton="0" quotePrefix="0" xfId="0"/>
    <xf numFmtId="167" fontId="10" fillId="3" borderId="1" pivotButton="0" quotePrefix="0" xfId="0"/>
    <xf numFmtId="166" fontId="11" fillId="0" borderId="1" pivotButton="0" quotePrefix="0" xfId="0"/>
    <xf numFmtId="168" fontId="11" fillId="3" borderId="1" pivotButton="0" quotePrefix="0" xfId="0"/>
    <xf numFmtId="0" fontId="9" fillId="2" borderId="1" pivotButton="0" quotePrefix="0" xfId="0"/>
    <xf numFmtId="0" fontId="12" fillId="0" borderId="1" applyAlignment="1" pivotButton="0" quotePrefix="0" xfId="0">
      <alignment vertical="top" wrapText="1"/>
    </xf>
    <xf numFmtId="0" fontId="11" fillId="0" borderId="1" applyAlignment="1" pivotButton="0" quotePrefix="0" xfId="0">
      <alignment vertical="top" wrapText="1"/>
    </xf>
    <xf numFmtId="0" fontId="2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3"/>
  <sheetViews>
    <sheetView showGridLines="0" workbookViewId="0">
      <selection activeCell="A1" sqref="A1"/>
    </sheetView>
  </sheetViews>
  <sheetFormatPr baseColWidth="8" defaultRowHeight="15"/>
  <cols>
    <col width="2" customWidth="1" min="1" max="1"/>
    <col width="96" customWidth="1" min="2" max="2"/>
  </cols>
  <sheetData>
    <row r="2">
      <c r="B2" s="1" t="inlineStr">
        <is>
          <t>Rentabilitätsrechner für Automatenaufsteller</t>
        </is>
      </c>
    </row>
    <row r="4">
      <c r="B4" s="2" t="inlineStr">
        <is>
          <t>Diese Datei beantwortet eine einzige Frage: Trägt sich dieser Standort?</t>
        </is>
      </c>
    </row>
    <row r="6">
      <c r="B6" s="3" t="inlineStr">
        <is>
          <t>Sie rechnet nicht schön, sondern vollständig. Enthalten sind auch die Posten, die in den meisten Überschlagsrechnungen fehlen — die eigenen Befüllfahrten, der Strom, der Schwund und die Rücklage für Reparaturen. Am Ende steht eine einzige Zahl: wie viele Verkäufe pro Tag der Automat schaffen muss, damit er Geld verdient statt kostet.</t>
        </is>
      </c>
    </row>
    <row r="8">
      <c r="B8" s="4" t="inlineStr">
        <is>
          <t>SO GEHST DU VOR</t>
        </is>
      </c>
    </row>
    <row r="10">
      <c r="B10" s="3" t="inlineStr">
        <is>
          <t>1.  Blatt „Produktkalkulation“ — trag ein, was du einkaufst und was du verlangen willst. Das ergibt deinen Rohertrag je Verkauf.</t>
        </is>
      </c>
    </row>
    <row r="11">
      <c r="B11" s="3" t="inlineStr">
        <is>
          <t>2.  Blatt „Standort-Rechner“ — trag die Angaben zum konkreten Standort ein. Alle gelben Felder ausfüllen, die blauen Zahlen sind deine Eingaben.</t>
        </is>
      </c>
    </row>
    <row r="12">
      <c r="B12" s="3" t="inlineStr">
        <is>
          <t>3.  Lies unten das Ergebnis: Gewinn pro Monat, Break-even in Verkäufen pro Tag und die Amortisationsdauer des Automaten.</t>
        </is>
      </c>
    </row>
    <row r="13">
      <c r="B13" s="3" t="inlineStr">
        <is>
          <t>4.  Blatt „Standortvergleich“ — trag mehrere Standorte nebeneinander ein und entscheide, welchen du zuerst angehst.</t>
        </is>
      </c>
    </row>
    <row r="15">
      <c r="B15" s="4" t="inlineStr">
        <is>
          <t>DIE FARBEN</t>
        </is>
      </c>
    </row>
    <row r="17">
      <c r="B17" s="3" t="inlineStr">
        <is>
          <t>Gelb hinterlegt mit blauer Schrift  =  hier trägst du ein.</t>
        </is>
      </c>
    </row>
    <row r="18">
      <c r="B18" s="3" t="inlineStr">
        <is>
          <t>Weiß mit schwarzer Schrift  =  rechnet die Datei aus. Nicht überschreiben, sonst ist die Formel weg.</t>
        </is>
      </c>
    </row>
    <row r="19">
      <c r="B19" s="3" t="inlineStr">
        <is>
          <t>Grün oder rot hinterlegt  =  Ergebnis, auf das es ankommt.</t>
        </is>
      </c>
    </row>
    <row r="21">
      <c r="B21" s="4" t="inlineStr">
        <is>
          <t>DREI FEHLER, DIE RICHTIG GELD KOSTEN</t>
        </is>
      </c>
    </row>
    <row r="23">
      <c r="B23" s="3" t="inlineStr">
        <is>
          <t>•  Die eigene Arbeitszeit nicht mitrechnen. Wer für 40 € Rohertrag im Monat zweimal 30 km fährt und je eine Stunde befüllt, arbeitet unter Mindestlohn. Diese Datei rechnet deine Zeit mit einem Stundensatz, den du selbst festlegst.</t>
        </is>
      </c>
    </row>
    <row r="24">
      <c r="B24" s="3" t="inlineStr">
        <is>
          <t>•  Umsatzbeteiligung als kleine Nebensache behandeln. 15 % vom Bruttoumsatz können mehr sein als deine gesamte Marge, wenn du günstig verkaufst. Die Datei zeigt beide Modelle — feste Miete und Beteiligung — nebeneinander.</t>
        </is>
      </c>
    </row>
    <row r="25">
      <c r="B25" s="3" t="inlineStr">
        <is>
          <t>•  Keine Rücklage für Reparaturen bilden. Ein Kühlaggregat oder ein Münzprüfer kostet im Ernstfall mehrere hundert Euro. Wer damit nicht rechnet, hält den Standort für rentabel, bis der erste Schaden kommt.</t>
        </is>
      </c>
    </row>
    <row r="27">
      <c r="B27" s="4" t="inlineStr">
        <is>
          <t>ZUR UMSATZSTEUER</t>
        </is>
      </c>
    </row>
    <row r="29">
      <c r="B29" s="3" t="inlineStr">
        <is>
          <t>Bei Automatenverkäufen gilt nicht durchgängig ein Steuersatz. Für Speisen und für Getränke gelten unterschiedliche Sätze, und die Abgrenzung hat sich in den letzten Jahren mehrfach geändert. Deshalb trägst du den Steuersatz in der Produktkalkulation je Artikel selbst ein — voreingestellt sind 7 % für Lebensmittel und 19 % für Getränke.</t>
        </is>
      </c>
    </row>
    <row r="30">
      <c r="B30" s="5" t="inlineStr">
        <is>
          <t>Kläre die Einordnung deiner Artikel mit deinem Steuerberater. Als Kleinunternehmer nach § 19 UStG weist du gar keine Umsatzsteuer aus — dann setzt du in der Produktkalkulation überall 0 % ein.</t>
        </is>
      </c>
    </row>
    <row r="33">
      <c r="B33" s="6" t="inlineStr">
        <is>
          <t>Arbeitshilfe, keine Steuer- oder Rechtsberatung. Zahlen sind Erfahrungswerte und müssen für den eigenen Fall geprüft werden. Stand: August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J45"/>
  <sheetViews>
    <sheetView showGridLines="0" workbookViewId="0">
      <selection activeCell="A1" sqref="A1"/>
    </sheetView>
  </sheetViews>
  <sheetFormatPr baseColWidth="8" defaultRowHeight="15"/>
  <cols>
    <col width="2" customWidth="1" min="1" max="1"/>
    <col width="30" customWidth="1" min="2" max="2"/>
    <col width="13" customWidth="1" min="3" max="3"/>
    <col width="11" customWidth="1" min="4" max="4"/>
    <col width="13" customWidth="1" min="5" max="5"/>
    <col width="12" customWidth="1" min="6" max="6"/>
    <col width="13" customWidth="1" min="7" max="7"/>
    <col width="13" customWidth="1" min="8" max="8"/>
    <col width="12" customWidth="1" min="9" max="9"/>
    <col width="34" customWidth="1" min="10" max="10"/>
  </cols>
  <sheetData>
    <row r="2">
      <c r="B2" s="7" t="inlineStr">
        <is>
          <t>Produktkalkulation</t>
        </is>
      </c>
    </row>
    <row r="3">
      <c r="B3" s="8" t="inlineStr">
        <is>
          <t>Was kaufst du ein, was verlangst du, was bleibt hängen? Der Durchschnitt unten geht in den Standort-Rechner ein.</t>
        </is>
      </c>
    </row>
    <row r="5" ht="30" customHeight="1">
      <c r="B5" s="9" t="inlineStr">
        <is>
          <t>Artikel</t>
        </is>
      </c>
      <c r="C5" s="9" t="inlineStr">
        <is>
          <t>Einkauf netto</t>
        </is>
      </c>
      <c r="D5" s="9" t="inlineStr">
        <is>
          <t>USt-Satz</t>
        </is>
      </c>
      <c r="E5" s="9" t="inlineStr">
        <is>
          <t>Verkaufspreis</t>
        </is>
      </c>
      <c r="F5" s="9" t="inlineStr">
        <is>
          <t>davon USt</t>
        </is>
      </c>
      <c r="G5" s="9" t="inlineStr">
        <is>
          <t>VK netto</t>
        </is>
      </c>
      <c r="H5" s="9" t="inlineStr">
        <is>
          <t>Rohertrag</t>
        </is>
      </c>
      <c r="I5" s="9" t="inlineStr">
        <is>
          <t>Marge</t>
        </is>
      </c>
      <c r="J5" s="9" t="inlineStr">
        <is>
          <t>Anmerkung</t>
        </is>
      </c>
    </row>
    <row r="6">
      <c r="B6" s="10" t="inlineStr">
        <is>
          <t>Schokoriegel 50 g</t>
        </is>
      </c>
      <c r="C6" s="11" t="n">
        <v>0.42</v>
      </c>
      <c r="D6" s="12" t="n">
        <v>0.07000000000000001</v>
      </c>
      <c r="E6" s="11" t="n">
        <v>1.2</v>
      </c>
      <c r="F6" s="13">
        <f>IF(E6="","",E6-E6/(1+D6))</f>
        <v/>
      </c>
      <c r="G6" s="13">
        <f>IF(E6="","",E6-F6)</f>
        <v/>
      </c>
      <c r="H6" s="14">
        <f>IF(E6="","",G6-C6)</f>
        <v/>
      </c>
      <c r="I6" s="15">
        <f>IF(OR(E6="",G6=0),"",H6/G6)</f>
        <v/>
      </c>
      <c r="J6" s="16" t="inlineStr">
        <is>
          <t>Beispielzeile — überschreiben</t>
        </is>
      </c>
    </row>
    <row r="7">
      <c r="B7" s="10" t="inlineStr">
        <is>
          <t>Chips 40 g</t>
        </is>
      </c>
      <c r="C7" s="11" t="n">
        <v>0.38</v>
      </c>
      <c r="D7" s="12" t="n">
        <v>0.07000000000000001</v>
      </c>
      <c r="E7" s="11" t="n">
        <v>1.2</v>
      </c>
      <c r="F7" s="13">
        <f>IF(E7="","",E7-E7/(1+D7))</f>
        <v/>
      </c>
      <c r="G7" s="13">
        <f>IF(E7="","",E7-F7)</f>
        <v/>
      </c>
      <c r="H7" s="14">
        <f>IF(E7="","",G7-C7)</f>
        <v/>
      </c>
      <c r="I7" s="15">
        <f>IF(OR(E7="",G7=0),"",H7/G7)</f>
        <v/>
      </c>
      <c r="J7" s="16" t="inlineStr"/>
    </row>
    <row r="8">
      <c r="B8" s="10" t="inlineStr">
        <is>
          <t>Müsliriegel</t>
        </is>
      </c>
      <c r="C8" s="11" t="n">
        <v>0.31</v>
      </c>
      <c r="D8" s="12" t="n">
        <v>0.07000000000000001</v>
      </c>
      <c r="E8" s="11" t="n">
        <v>1</v>
      </c>
      <c r="F8" s="13">
        <f>IF(E8="","",E8-E8/(1+D8))</f>
        <v/>
      </c>
      <c r="G8" s="13">
        <f>IF(E8="","",E8-F8)</f>
        <v/>
      </c>
      <c r="H8" s="14">
        <f>IF(E8="","",G8-C8)</f>
        <v/>
      </c>
      <c r="I8" s="15">
        <f>IF(OR(E8="",G8=0),"",H8/G8)</f>
        <v/>
      </c>
      <c r="J8" s="16" t="inlineStr"/>
    </row>
    <row r="9">
      <c r="B9" s="10" t="inlineStr">
        <is>
          <t>Softdrink 0,5 l PET</t>
        </is>
      </c>
      <c r="C9" s="11" t="n">
        <v>0.55</v>
      </c>
      <c r="D9" s="12" t="n">
        <v>0.19</v>
      </c>
      <c r="E9" s="11" t="n">
        <v>1.5</v>
      </c>
      <c r="F9" s="13">
        <f>IF(E9="","",E9-E9/(1+D9))</f>
        <v/>
      </c>
      <c r="G9" s="13">
        <f>IF(E9="","",E9-F9)</f>
        <v/>
      </c>
      <c r="H9" s="14">
        <f>IF(E9="","",G9-C9)</f>
        <v/>
      </c>
      <c r="I9" s="15">
        <f>IF(OR(E9="",G9=0),"",H9/G9)</f>
        <v/>
      </c>
      <c r="J9" s="16" t="inlineStr">
        <is>
          <t>Pfand siehe Hinweis unten</t>
        </is>
      </c>
    </row>
    <row r="10">
      <c r="B10" s="10" t="inlineStr">
        <is>
          <t>Wasser 0,5 l</t>
        </is>
      </c>
      <c r="C10" s="11" t="n">
        <v>0.28</v>
      </c>
      <c r="D10" s="12" t="n">
        <v>0.19</v>
      </c>
      <c r="E10" s="11" t="n">
        <v>1</v>
      </c>
      <c r="F10" s="13">
        <f>IF(E10="","",E10-E10/(1+D10))</f>
        <v/>
      </c>
      <c r="G10" s="13">
        <f>IF(E10="","",E10-F10)</f>
        <v/>
      </c>
      <c r="H10" s="14">
        <f>IF(E10="","",G10-C10)</f>
        <v/>
      </c>
      <c r="I10" s="15">
        <f>IF(OR(E10="",G10=0),"",H10/G10)</f>
        <v/>
      </c>
      <c r="J10" s="16" t="inlineStr"/>
    </row>
    <row r="11">
      <c r="B11" s="10" t="inlineStr">
        <is>
          <t>Energydrink 0,25 l</t>
        </is>
      </c>
      <c r="C11" s="11" t="n">
        <v>0.62</v>
      </c>
      <c r="D11" s="12" t="n">
        <v>0.19</v>
      </c>
      <c r="E11" s="11" t="n">
        <v>1.8</v>
      </c>
      <c r="F11" s="13">
        <f>IF(E11="","",E11-E11/(1+D11))</f>
        <v/>
      </c>
      <c r="G11" s="13">
        <f>IF(E11="","",E11-F11)</f>
        <v/>
      </c>
      <c r="H11" s="14">
        <f>IF(E11="","",G11-C11)</f>
        <v/>
      </c>
      <c r="I11" s="15">
        <f>IF(OR(E11="",G11=0),"",H11/G11)</f>
        <v/>
      </c>
      <c r="J11" s="16" t="inlineStr"/>
    </row>
    <row r="12">
      <c r="B12" s="10" t="inlineStr">
        <is>
          <t>Kaugummi</t>
        </is>
      </c>
      <c r="C12" s="11" t="n">
        <v>0.35</v>
      </c>
      <c r="D12" s="12" t="n">
        <v>0.07000000000000001</v>
      </c>
      <c r="E12" s="11" t="n">
        <v>1</v>
      </c>
      <c r="F12" s="13">
        <f>IF(E12="","",E12-E12/(1+D12))</f>
        <v/>
      </c>
      <c r="G12" s="13">
        <f>IF(E12="","",E12-F12)</f>
        <v/>
      </c>
      <c r="H12" s="14">
        <f>IF(E12="","",G12-C12)</f>
        <v/>
      </c>
      <c r="I12" s="15">
        <f>IF(OR(E12="",G12=0),"",H12/G12)</f>
        <v/>
      </c>
      <c r="J12" s="16" t="inlineStr"/>
    </row>
    <row r="13">
      <c r="B13" s="10" t="n"/>
      <c r="C13" s="11" t="n"/>
      <c r="D13" s="12" t="n"/>
      <c r="E13" s="11" t="n"/>
      <c r="F13" s="13">
        <f>IF(E13="","",E13-E13/(1+D13))</f>
        <v/>
      </c>
      <c r="G13" s="13">
        <f>IF(E13="","",E13-F13)</f>
        <v/>
      </c>
      <c r="H13" s="14">
        <f>IF(E13="","",G13-C13)</f>
        <v/>
      </c>
      <c r="I13" s="15">
        <f>IF(OR(E13="",G13=0),"",H13/G13)</f>
        <v/>
      </c>
      <c r="J13" s="16" t="n"/>
    </row>
    <row r="14">
      <c r="B14" s="10" t="n"/>
      <c r="C14" s="11" t="n"/>
      <c r="D14" s="12" t="n"/>
      <c r="E14" s="11" t="n"/>
      <c r="F14" s="13">
        <f>IF(E14="","",E14-E14/(1+D14))</f>
        <v/>
      </c>
      <c r="G14" s="13">
        <f>IF(E14="","",E14-F14)</f>
        <v/>
      </c>
      <c r="H14" s="14">
        <f>IF(E14="","",G14-C14)</f>
        <v/>
      </c>
      <c r="I14" s="15">
        <f>IF(OR(E14="",G14=0),"",H14/G14)</f>
        <v/>
      </c>
      <c r="J14" s="16" t="n"/>
    </row>
    <row r="15">
      <c r="B15" s="10" t="n"/>
      <c r="C15" s="11" t="n"/>
      <c r="D15" s="12" t="n"/>
      <c r="E15" s="11" t="n"/>
      <c r="F15" s="13">
        <f>IF(E15="","",E15-E15/(1+D15))</f>
        <v/>
      </c>
      <c r="G15" s="13">
        <f>IF(E15="","",E15-F15)</f>
        <v/>
      </c>
      <c r="H15" s="14">
        <f>IF(E15="","",G15-C15)</f>
        <v/>
      </c>
      <c r="I15" s="15">
        <f>IF(OR(E15="",G15=0),"",H15/G15)</f>
        <v/>
      </c>
      <c r="J15" s="16" t="n"/>
    </row>
    <row r="16">
      <c r="B16" s="10" t="n"/>
      <c r="C16" s="11" t="n"/>
      <c r="D16" s="12" t="n"/>
      <c r="E16" s="11" t="n"/>
      <c r="F16" s="13">
        <f>IF(E16="","",E16-E16/(1+D16))</f>
        <v/>
      </c>
      <c r="G16" s="13">
        <f>IF(E16="","",E16-F16)</f>
        <v/>
      </c>
      <c r="H16" s="14">
        <f>IF(E16="","",G16-C16)</f>
        <v/>
      </c>
      <c r="I16" s="15">
        <f>IF(OR(E16="",G16=0),"",H16/G16)</f>
        <v/>
      </c>
      <c r="J16" s="16" t="n"/>
    </row>
    <row r="17">
      <c r="B17" s="10" t="n"/>
      <c r="C17" s="11" t="n"/>
      <c r="D17" s="12" t="n"/>
      <c r="E17" s="11" t="n"/>
      <c r="F17" s="13">
        <f>IF(E17="","",E17-E17/(1+D17))</f>
        <v/>
      </c>
      <c r="G17" s="13">
        <f>IF(E17="","",E17-F17)</f>
        <v/>
      </c>
      <c r="H17" s="14">
        <f>IF(E17="","",G17-C17)</f>
        <v/>
      </c>
      <c r="I17" s="15">
        <f>IF(OR(E17="",G17=0),"",H17/G17)</f>
        <v/>
      </c>
      <c r="J17" s="16" t="n"/>
    </row>
    <row r="18">
      <c r="B18" s="10" t="n"/>
      <c r="C18" s="11" t="n"/>
      <c r="D18" s="12" t="n"/>
      <c r="E18" s="11" t="n"/>
      <c r="F18" s="13">
        <f>IF(E18="","",E18-E18/(1+D18))</f>
        <v/>
      </c>
      <c r="G18" s="13">
        <f>IF(E18="","",E18-F18)</f>
        <v/>
      </c>
      <c r="H18" s="14">
        <f>IF(E18="","",G18-C18)</f>
        <v/>
      </c>
      <c r="I18" s="15">
        <f>IF(OR(E18="",G18=0),"",H18/G18)</f>
        <v/>
      </c>
      <c r="J18" s="16" t="n"/>
    </row>
    <row r="19">
      <c r="B19" s="10" t="n"/>
      <c r="C19" s="11" t="n"/>
      <c r="D19" s="12" t="n"/>
      <c r="E19" s="11" t="n"/>
      <c r="F19" s="13">
        <f>IF(E19="","",E19-E19/(1+D19))</f>
        <v/>
      </c>
      <c r="G19" s="13">
        <f>IF(E19="","",E19-F19)</f>
        <v/>
      </c>
      <c r="H19" s="14">
        <f>IF(E19="","",G19-C19)</f>
        <v/>
      </c>
      <c r="I19" s="15">
        <f>IF(OR(E19="",G19=0),"",H19/G19)</f>
        <v/>
      </c>
      <c r="J19" s="16" t="n"/>
    </row>
    <row r="20">
      <c r="B20" s="10" t="n"/>
      <c r="C20" s="11" t="n"/>
      <c r="D20" s="12" t="n"/>
      <c r="E20" s="11" t="n"/>
      <c r="F20" s="13">
        <f>IF(E20="","",E20-E20/(1+D20))</f>
        <v/>
      </c>
      <c r="G20" s="13">
        <f>IF(E20="","",E20-F20)</f>
        <v/>
      </c>
      <c r="H20" s="14">
        <f>IF(E20="","",G20-C20)</f>
        <v/>
      </c>
      <c r="I20" s="15">
        <f>IF(OR(E20="",G20=0),"",H20/G20)</f>
        <v/>
      </c>
      <c r="J20" s="16" t="n"/>
    </row>
    <row r="21">
      <c r="B21" s="10" t="n"/>
      <c r="C21" s="11" t="n"/>
      <c r="D21" s="12" t="n"/>
      <c r="E21" s="11" t="n"/>
      <c r="F21" s="13">
        <f>IF(E21="","",E21-E21/(1+D21))</f>
        <v/>
      </c>
      <c r="G21" s="13">
        <f>IF(E21="","",E21-F21)</f>
        <v/>
      </c>
      <c r="H21" s="14">
        <f>IF(E21="","",G21-C21)</f>
        <v/>
      </c>
      <c r="I21" s="15">
        <f>IF(OR(E21="",G21=0),"",H21/G21)</f>
        <v/>
      </c>
      <c r="J21" s="16" t="n"/>
    </row>
    <row r="22">
      <c r="B22" s="10" t="n"/>
      <c r="C22" s="11" t="n"/>
      <c r="D22" s="12" t="n"/>
      <c r="E22" s="11" t="n"/>
      <c r="F22" s="13">
        <f>IF(E22="","",E22-E22/(1+D22))</f>
        <v/>
      </c>
      <c r="G22" s="13">
        <f>IF(E22="","",E22-F22)</f>
        <v/>
      </c>
      <c r="H22" s="14">
        <f>IF(E22="","",G22-C22)</f>
        <v/>
      </c>
      <c r="I22" s="15">
        <f>IF(OR(E22="",G22=0),"",H22/G22)</f>
        <v/>
      </c>
      <c r="J22" s="16" t="n"/>
    </row>
    <row r="23">
      <c r="B23" s="10" t="n"/>
      <c r="C23" s="11" t="n"/>
      <c r="D23" s="12" t="n"/>
      <c r="E23" s="11" t="n"/>
      <c r="F23" s="13">
        <f>IF(E23="","",E23-E23/(1+D23))</f>
        <v/>
      </c>
      <c r="G23" s="13">
        <f>IF(E23="","",E23-F23)</f>
        <v/>
      </c>
      <c r="H23" s="14">
        <f>IF(E23="","",G23-C23)</f>
        <v/>
      </c>
      <c r="I23" s="15">
        <f>IF(OR(E23="",G23=0),"",H23/G23)</f>
        <v/>
      </c>
      <c r="J23" s="16" t="n"/>
    </row>
    <row r="24">
      <c r="B24" s="10" t="n"/>
      <c r="C24" s="11" t="n"/>
      <c r="D24" s="12" t="n"/>
      <c r="E24" s="11" t="n"/>
      <c r="F24" s="13">
        <f>IF(E24="","",E24-E24/(1+D24))</f>
        <v/>
      </c>
      <c r="G24" s="13">
        <f>IF(E24="","",E24-F24)</f>
        <v/>
      </c>
      <c r="H24" s="14">
        <f>IF(E24="","",G24-C24)</f>
        <v/>
      </c>
      <c r="I24" s="15">
        <f>IF(OR(E24="",G24=0),"",H24/G24)</f>
        <v/>
      </c>
      <c r="J24" s="16" t="n"/>
    </row>
    <row r="25">
      <c r="B25" s="10" t="n"/>
      <c r="C25" s="11" t="n"/>
      <c r="D25" s="12" t="n"/>
      <c r="E25" s="11" t="n"/>
      <c r="F25" s="13">
        <f>IF(E25="","",E25-E25/(1+D25))</f>
        <v/>
      </c>
      <c r="G25" s="13">
        <f>IF(E25="","",E25-F25)</f>
        <v/>
      </c>
      <c r="H25" s="14">
        <f>IF(E25="","",G25-C25)</f>
        <v/>
      </c>
      <c r="I25" s="15">
        <f>IF(OR(E25="",G25=0),"",H25/G25)</f>
        <v/>
      </c>
      <c r="J25" s="16" t="n"/>
    </row>
    <row r="26">
      <c r="B26" s="10" t="n"/>
      <c r="C26" s="11" t="n"/>
      <c r="D26" s="12" t="n"/>
      <c r="E26" s="11" t="n"/>
      <c r="F26" s="13">
        <f>IF(E26="","",E26-E26/(1+D26))</f>
        <v/>
      </c>
      <c r="G26" s="13">
        <f>IF(E26="","",E26-F26)</f>
        <v/>
      </c>
      <c r="H26" s="14">
        <f>IF(E26="","",G26-C26)</f>
        <v/>
      </c>
      <c r="I26" s="15">
        <f>IF(OR(E26="",G26=0),"",H26/G26)</f>
        <v/>
      </c>
      <c r="J26" s="16" t="n"/>
    </row>
    <row r="27">
      <c r="B27" s="10" t="n"/>
      <c r="C27" s="11" t="n"/>
      <c r="D27" s="12" t="n"/>
      <c r="E27" s="11" t="n"/>
      <c r="F27" s="13">
        <f>IF(E27="","",E27-E27/(1+D27))</f>
        <v/>
      </c>
      <c r="G27" s="13">
        <f>IF(E27="","",E27-F27)</f>
        <v/>
      </c>
      <c r="H27" s="14">
        <f>IF(E27="","",G27-C27)</f>
        <v/>
      </c>
      <c r="I27" s="15">
        <f>IF(OR(E27="",G27=0),"",H27/G27)</f>
        <v/>
      </c>
      <c r="J27" s="16" t="n"/>
    </row>
    <row r="28">
      <c r="B28" s="10" t="n"/>
      <c r="C28" s="11" t="n"/>
      <c r="D28" s="12" t="n"/>
      <c r="E28" s="11" t="n"/>
      <c r="F28" s="13">
        <f>IF(E28="","",E28-E28/(1+D28))</f>
        <v/>
      </c>
      <c r="G28" s="13">
        <f>IF(E28="","",E28-F28)</f>
        <v/>
      </c>
      <c r="H28" s="14">
        <f>IF(E28="","",G28-C28)</f>
        <v/>
      </c>
      <c r="I28" s="15">
        <f>IF(OR(E28="",G28=0),"",H28/G28)</f>
        <v/>
      </c>
      <c r="J28" s="16" t="n"/>
    </row>
    <row r="29">
      <c r="B29" s="10" t="n"/>
      <c r="C29" s="11" t="n"/>
      <c r="D29" s="12" t="n"/>
      <c r="E29" s="11" t="n"/>
      <c r="F29" s="13">
        <f>IF(E29="","",E29-E29/(1+D29))</f>
        <v/>
      </c>
      <c r="G29" s="13">
        <f>IF(E29="","",E29-F29)</f>
        <v/>
      </c>
      <c r="H29" s="14">
        <f>IF(E29="","",G29-C29)</f>
        <v/>
      </c>
      <c r="I29" s="15">
        <f>IF(OR(E29="",G29=0),"",H29/G29)</f>
        <v/>
      </c>
      <c r="J29" s="16" t="n"/>
    </row>
    <row r="30">
      <c r="B30" s="10" t="n"/>
      <c r="C30" s="11" t="n"/>
      <c r="D30" s="12" t="n"/>
      <c r="E30" s="11" t="n"/>
      <c r="F30" s="13">
        <f>IF(E30="","",E30-E30/(1+D30))</f>
        <v/>
      </c>
      <c r="G30" s="13">
        <f>IF(E30="","",E30-F30)</f>
        <v/>
      </c>
      <c r="H30" s="14">
        <f>IF(E30="","",G30-C30)</f>
        <v/>
      </c>
      <c r="I30" s="15">
        <f>IF(OR(E30="",G30=0),"",H30/G30)</f>
        <v/>
      </c>
      <c r="J30" s="16" t="n"/>
    </row>
    <row r="31">
      <c r="B31" s="10" t="n"/>
      <c r="C31" s="11" t="n"/>
      <c r="D31" s="12" t="n"/>
      <c r="E31" s="11" t="n"/>
      <c r="F31" s="13">
        <f>IF(E31="","",E31-E31/(1+D31))</f>
        <v/>
      </c>
      <c r="G31" s="13">
        <f>IF(E31="","",E31-F31)</f>
        <v/>
      </c>
      <c r="H31" s="14">
        <f>IF(E31="","",G31-C31)</f>
        <v/>
      </c>
      <c r="I31" s="15">
        <f>IF(OR(E31="",G31=0),"",H31/G31)</f>
        <v/>
      </c>
      <c r="J31" s="16" t="n"/>
    </row>
    <row r="32">
      <c r="B32" s="10" t="n"/>
      <c r="C32" s="11" t="n"/>
      <c r="D32" s="12" t="n"/>
      <c r="E32" s="11" t="n"/>
      <c r="F32" s="13">
        <f>IF(E32="","",E32-E32/(1+D32))</f>
        <v/>
      </c>
      <c r="G32" s="13">
        <f>IF(E32="","",E32-F32)</f>
        <v/>
      </c>
      <c r="H32" s="14">
        <f>IF(E32="","",G32-C32)</f>
        <v/>
      </c>
      <c r="I32" s="15">
        <f>IF(OR(E32="",G32=0),"",H32/G32)</f>
        <v/>
      </c>
      <c r="J32" s="16" t="n"/>
    </row>
    <row r="33">
      <c r="B33" s="10" t="n"/>
      <c r="C33" s="11" t="n"/>
      <c r="D33" s="12" t="n"/>
      <c r="E33" s="11" t="n"/>
      <c r="F33" s="13">
        <f>IF(E33="","",E33-E33/(1+D33))</f>
        <v/>
      </c>
      <c r="G33" s="13">
        <f>IF(E33="","",E33-F33)</f>
        <v/>
      </c>
      <c r="H33" s="14">
        <f>IF(E33="","",G33-C33)</f>
        <v/>
      </c>
      <c r="I33" s="15">
        <f>IF(OR(E33="",G33=0),"",H33/G33)</f>
        <v/>
      </c>
      <c r="J33" s="16" t="n"/>
    </row>
    <row r="34">
      <c r="B34" s="10" t="n"/>
      <c r="C34" s="11" t="n"/>
      <c r="D34" s="12" t="n"/>
      <c r="E34" s="11" t="n"/>
      <c r="F34" s="13">
        <f>IF(E34="","",E34-E34/(1+D34))</f>
        <v/>
      </c>
      <c r="G34" s="13">
        <f>IF(E34="","",E34-F34)</f>
        <v/>
      </c>
      <c r="H34" s="14">
        <f>IF(E34="","",G34-C34)</f>
        <v/>
      </c>
      <c r="I34" s="15">
        <f>IF(OR(E34="",G34=0),"",H34/G34)</f>
        <v/>
      </c>
      <c r="J34" s="16" t="n"/>
    </row>
    <row r="35">
      <c r="B35" s="10" t="n"/>
      <c r="C35" s="11" t="n"/>
      <c r="D35" s="12" t="n"/>
      <c r="E35" s="11" t="n"/>
      <c r="F35" s="13">
        <f>IF(E35="","",E35-E35/(1+D35))</f>
        <v/>
      </c>
      <c r="G35" s="13">
        <f>IF(E35="","",E35-F35)</f>
        <v/>
      </c>
      <c r="H35" s="14">
        <f>IF(E35="","",G35-C35)</f>
        <v/>
      </c>
      <c r="I35" s="15">
        <f>IF(OR(E35="",G35=0),"",H35/G35)</f>
        <v/>
      </c>
      <c r="J35" s="16" t="n"/>
    </row>
    <row r="37">
      <c r="B37" s="17" t="inlineStr">
        <is>
          <t>Durchschnittlicher Rohertrag je Verkauf</t>
        </is>
      </c>
      <c r="H37" s="18">
        <f>IFERROR(AVERAGE(H6:H35),0)</f>
        <v/>
      </c>
      <c r="J37" s="19" t="inlineStr">
        <is>
          <t>Diese Zahl übernimmt der Standort-Rechner automatisch.</t>
        </is>
      </c>
    </row>
    <row r="38">
      <c r="B38" s="20" t="inlineStr">
        <is>
          <t>Durchschnittlicher Verkaufspreis (brutto)</t>
        </is>
      </c>
      <c r="H38" s="21">
        <f>IFERROR(AVERAGE(E6:E35),0)</f>
        <v/>
      </c>
    </row>
    <row r="39">
      <c r="B39" s="20" t="inlineStr">
        <is>
          <t>Durchschnittliche Marge</t>
        </is>
      </c>
      <c r="H39" s="22">
        <f>IFERROR(AVERAGE(I6:I35),0)</f>
        <v/>
      </c>
    </row>
    <row r="41">
      <c r="B41" s="4" t="inlineStr">
        <is>
          <t>ZUM PFAND</t>
        </is>
      </c>
    </row>
    <row r="42">
      <c r="B42" s="3" t="inlineStr">
        <is>
          <t>Pfand ist kein Ertrag. Es ist ein durchlaufender Posten: Du zahlst es beim Einkauf und bekommst es bei der Rückgabe zurück. Trag den Verkaufspreis deshalb OHNE Pfand ein und schlage das Pfand am Automaten separat auf. Wer Pfand in den Verkaufspreis rechnet, hält seine Marge für größer, als sie ist.</t>
        </is>
      </c>
    </row>
    <row r="44">
      <c r="B44" s="4" t="inlineStr">
        <is>
          <t>ZUR PREISGESTALTUNG</t>
        </is>
      </c>
    </row>
    <row r="45">
      <c r="B45" s="3" t="inlineStr">
        <is>
          <t>Runde Preise verkaufen an Automaten besser als krumme — nicht wegen der Psychologie, sondern weil das Münzwechseln entfällt. 1,00 €, 1,50 € und 2,00 € sind deshalb üblich. Ein Preis von 1,30 € kostet dich Verkäufe von Leuten, die kein Kleingeld haben, und Wechselgeld, das du vorhalten musst.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D62"/>
  <sheetViews>
    <sheetView showGridLines="0" workbookViewId="0">
      <selection activeCell="A1" sqref="A1"/>
    </sheetView>
  </sheetViews>
  <sheetFormatPr baseColWidth="8" defaultRowHeight="15"/>
  <cols>
    <col width="2" customWidth="1" min="1" max="1"/>
    <col width="46" customWidth="1" min="2" max="2"/>
    <col width="16" customWidth="1" min="3" max="3"/>
    <col width="58" customWidth="1" min="4" max="4"/>
  </cols>
  <sheetData>
    <row r="2">
      <c r="B2" s="7" t="inlineStr">
        <is>
          <t>Standort-Rechner</t>
        </is>
      </c>
    </row>
    <row r="3">
      <c r="B3" s="8" t="inlineStr">
        <is>
          <t>Ein Standort, vollständig gerechnet. Gelbe Felder ausfüllen.</t>
        </is>
      </c>
    </row>
    <row r="5">
      <c r="B5" s="23" t="inlineStr">
        <is>
          <t>DER STANDORT</t>
        </is>
      </c>
      <c r="C5" s="24" t="n"/>
      <c r="D5" s="24" t="n"/>
    </row>
    <row r="6">
      <c r="B6" s="25" t="inlineStr">
        <is>
          <t>Bezeichnung</t>
        </is>
      </c>
      <c r="C6" s="26" t="inlineStr">
        <is>
          <t>z. B. Firma Müller, Halle 2</t>
        </is>
      </c>
    </row>
    <row r="7">
      <c r="B7" s="25" t="inlineStr">
        <is>
          <t>Art des Standorts</t>
        </is>
      </c>
      <c r="C7" s="26" t="inlineStr">
        <is>
          <t>Betrieb / Schule / Waschsalon / Praxis …</t>
        </is>
      </c>
    </row>
    <row r="8">
      <c r="B8" s="25" t="inlineStr">
        <is>
          <t>Personen vor Ort (täglich)</t>
        </is>
      </c>
      <c r="C8" s="27" t="n">
        <v>120</v>
      </c>
      <c r="D8" s="28" t="inlineStr">
        <is>
          <t>Wie viele Menschen kommen am Automaten vorbei? Nicht die Gesamtbelegschaft — nur die, die tatsächlich vorbeilaufen.</t>
        </is>
      </c>
    </row>
    <row r="9">
      <c r="B9" s="25" t="inlineStr">
        <is>
          <t>Öffnungstage pro Monat</t>
        </is>
      </c>
      <c r="C9" s="27" t="n">
        <v>21</v>
      </c>
      <c r="D9" s="28" t="inlineStr">
        <is>
          <t>Betrieb ohne Wochenende: 21. Öffentlich zugänglich rund um die Uhr: 30.</t>
        </is>
      </c>
    </row>
    <row r="11">
      <c r="B11" s="23" t="inlineStr">
        <is>
          <t>ERWARTETER UMSATZ</t>
        </is>
      </c>
      <c r="C11" s="24" t="n"/>
      <c r="D11" s="24" t="n"/>
    </row>
    <row r="12">
      <c r="B12" s="25" t="inlineStr">
        <is>
          <t>Verkäufe je Person und Tag</t>
        </is>
      </c>
      <c r="C12" s="29" t="n">
        <v>0.1</v>
      </c>
      <c r="D12" s="28" t="inlineStr">
        <is>
          <t>Erfahrungswert: 0,05 bis 0,15. Bei 80 Personen und 0,08 sind das gut 6 Verkäufe am Tag. Lieber zu vorsichtig schätzen.</t>
        </is>
      </c>
    </row>
    <row r="13">
      <c r="B13" s="25" t="inlineStr">
        <is>
          <t>Verkäufe pro Tag</t>
        </is>
      </c>
      <c r="C13" s="30">
        <f>ROUND(C8*C12,1)</f>
        <v/>
      </c>
      <c r="D13" s="28" t="inlineStr">
        <is>
          <t>Personen × Quote</t>
        </is>
      </c>
    </row>
    <row r="14">
      <c r="B14" s="25" t="inlineStr">
        <is>
          <t>Verkäufe pro Monat</t>
        </is>
      </c>
      <c r="C14" s="31">
        <f>ROUND(C13*C9,0)</f>
        <v/>
      </c>
    </row>
    <row r="15">
      <c r="B15" s="25" t="inlineStr">
        <is>
          <t>Rohertrag je Verkauf</t>
        </is>
      </c>
      <c r="C15" s="32">
        <f>Produktkalkulation!H37</f>
        <v/>
      </c>
      <c r="D15" s="28" t="inlineStr">
        <is>
          <t>Kommt aus dem Blatt Produktkalkulation.</t>
        </is>
      </c>
    </row>
    <row r="16">
      <c r="B16" s="33" t="inlineStr">
        <is>
          <t>Rohertrag pro Monat</t>
        </is>
      </c>
      <c r="C16" s="34">
        <f>C14*C15</f>
        <v/>
      </c>
    </row>
    <row r="18">
      <c r="B18" s="23" t="inlineStr">
        <is>
          <t>KOSTEN DES STANDORTS</t>
        </is>
      </c>
      <c r="C18" s="24" t="n"/>
      <c r="D18" s="24" t="n"/>
    </row>
    <row r="19">
      <c r="B19" s="25" t="inlineStr">
        <is>
          <t>Modell der Standortvergütung</t>
        </is>
      </c>
      <c r="C19" s="26" t="inlineStr">
        <is>
          <t>fest</t>
        </is>
      </c>
      <c r="D19" s="28" t="inlineStr">
        <is>
          <t>Trag "fest" oder "prozentual" ein. Danach nur das passende Feld ausfüllen.</t>
        </is>
      </c>
    </row>
    <row r="20">
      <c r="B20" s="25" t="inlineStr">
        <is>
          <t xml:space="preserve">  feste Miete pro Monat</t>
        </is>
      </c>
      <c r="C20" s="35" t="n">
        <v>30</v>
      </c>
      <c r="D20" s="28" t="inlineStr">
        <is>
          <t>Übliche Spanne 0 bis 80 €. Viele Standorte geben die Fläche umsonst her, wenn der Automat gewünscht ist.</t>
        </is>
      </c>
    </row>
    <row r="21">
      <c r="B21" s="25" t="inlineStr">
        <is>
          <t xml:space="preserve">  Beteiligung am Bruttoumsatz</t>
        </is>
      </c>
      <c r="C21" s="36" t="n">
        <v>0.1</v>
      </c>
      <c r="D21" s="28" t="inlineStr">
        <is>
          <t>Übliche Spanne 10 bis 20 %. Achtung: vom BRUTTO-Umsatz, nicht vom Gewinn.</t>
        </is>
      </c>
    </row>
    <row r="22">
      <c r="B22" s="25" t="inlineStr">
        <is>
          <t xml:space="preserve">  durchschnittlicher Verkaufspreis brutto</t>
        </is>
      </c>
      <c r="C22" s="32">
        <f>Produktkalkulation!H38</f>
        <v/>
      </c>
      <c r="D22" s="28" t="inlineStr">
        <is>
          <t>Grundlage für die prozentuale Beteiligung.</t>
        </is>
      </c>
    </row>
    <row r="23">
      <c r="B23" s="33" t="inlineStr">
        <is>
          <t>Standortvergütung pro Monat</t>
        </is>
      </c>
      <c r="C23" s="21">
        <f>IF(C19="prozentual",C14*C22*C21,C20)</f>
        <v/>
      </c>
    </row>
    <row r="25">
      <c r="B25" s="25" t="inlineStr">
        <is>
          <t>Stromverbrauch pro Monat (kWh)</t>
        </is>
      </c>
      <c r="C25" s="27" t="n">
        <v>45</v>
      </c>
      <c r="D25" s="28" t="inlineStr">
        <is>
          <t>Snackautomat ohne Kühlung 15–25 kWh, mit Kühlung 40–90 kWh. Bei Getränkekühlern im Sommer deutlich mehr.</t>
        </is>
      </c>
    </row>
    <row r="26">
      <c r="B26" s="25" t="inlineStr">
        <is>
          <t>Strompreis je kWh</t>
        </is>
      </c>
      <c r="C26" s="35" t="n">
        <v>0.32</v>
      </c>
      <c r="D26" s="28" t="inlineStr">
        <is>
          <t>Zahlt der Standort den Strom, trag 0 ein — und halte das schriftlich fest.</t>
        </is>
      </c>
    </row>
    <row r="27">
      <c r="B27" s="25" t="inlineStr">
        <is>
          <t>Stromkosten pro Monat</t>
        </is>
      </c>
      <c r="C27" s="32">
        <f>C25*C26</f>
        <v/>
      </c>
    </row>
    <row r="29">
      <c r="B29" s="23" t="inlineStr">
        <is>
          <t>DEINE FAHRTEN UND DEINE ZEIT</t>
        </is>
      </c>
      <c r="C29" s="24" t="n"/>
      <c r="D29" s="24" t="n"/>
    </row>
    <row r="30">
      <c r="B30" s="25" t="inlineStr">
        <is>
          <t>Befüllfahrten pro Monat</t>
        </is>
      </c>
      <c r="C30" s="27" t="n">
        <v>2</v>
      </c>
      <c r="D30" s="28" t="inlineStr">
        <is>
          <t>Zu selten befüllen kostet Umsatz, zu oft kostet Zeit.</t>
        </is>
      </c>
    </row>
    <row r="31">
      <c r="B31" s="25" t="inlineStr">
        <is>
          <t>Entfernung je Fahrt (hin und zurück, km)</t>
        </is>
      </c>
      <c r="C31" s="27" t="n">
        <v>12</v>
      </c>
    </row>
    <row r="32">
      <c r="B32" s="25" t="inlineStr">
        <is>
          <t>Kosten je Kilometer</t>
        </is>
      </c>
      <c r="C32" s="35" t="n">
        <v>0.3</v>
      </c>
      <c r="D32" s="28" t="inlineStr">
        <is>
          <t>0,30 € ist die pauschale Größe, mit der viele rechnen. Wer ein teures Fahrzeug fährt, liegt höher.</t>
        </is>
      </c>
    </row>
    <row r="33">
      <c r="B33" s="25" t="inlineStr">
        <is>
          <t>Zeitaufwand je Fahrt (Stunden)</t>
        </is>
      </c>
      <c r="C33" s="37" t="n">
        <v>0.5</v>
      </c>
      <c r="D33" s="28" t="inlineStr">
        <is>
          <t>Fahrt, Befüllung, Abrechnung, Kasse leeren. Ehrlich schätzen. Gehört der Automat zu einer Tour mit mehreren Standorten, rechne nur den Anteil, der auf ihn entfällt.</t>
        </is>
      </c>
    </row>
    <row r="34">
      <c r="B34" s="25" t="inlineStr">
        <is>
          <t>Dein Stundensatz</t>
        </is>
      </c>
      <c r="C34" s="35" t="n">
        <v>25</v>
      </c>
      <c r="D34" s="28" t="inlineStr">
        <is>
          <t>Was deine Zeit wert ist. Setzt du hier 0 ein, arbeitest du umsonst — dann rechnet die Datei den Standort schön.</t>
        </is>
      </c>
    </row>
    <row r="35">
      <c r="B35" s="25" t="inlineStr">
        <is>
          <t>Fahrtkosten pro Monat</t>
        </is>
      </c>
      <c r="C35" s="32">
        <f>C30*C31*C32</f>
        <v/>
      </c>
    </row>
    <row r="36">
      <c r="B36" s="25" t="inlineStr">
        <is>
          <t>Wert deiner Arbeitszeit pro Monat</t>
        </is>
      </c>
      <c r="C36" s="32">
        <f>C30*C33*C34</f>
        <v/>
      </c>
    </row>
    <row r="38">
      <c r="B38" s="23" t="inlineStr">
        <is>
          <t>WEITERE LAUFENDE KOSTEN</t>
        </is>
      </c>
      <c r="C38" s="24" t="n"/>
      <c r="D38" s="24" t="n"/>
    </row>
    <row r="39">
      <c r="B39" s="25" t="inlineStr">
        <is>
          <t>Schwund und Verderb (% vom Rohertrag)</t>
        </is>
      </c>
      <c r="C39" s="36" t="n">
        <v>0.02</v>
      </c>
      <c r="D39" s="28" t="inlineStr">
        <is>
          <t>Abgelaufene Ware, Diebstahl, verklemmte Artikel. 1–4 % sind normal.</t>
        </is>
      </c>
    </row>
    <row r="40">
      <c r="B40" s="25" t="inlineStr">
        <is>
          <t>Schwund pro Monat</t>
        </is>
      </c>
      <c r="C40" s="32">
        <f>C16*C39</f>
        <v/>
      </c>
      <c r="D40" s="28" t="inlineStr">
        <is>
          <t>Bewusst vereinfacht auf den Rohertrag bezogen, damit nur eine Zahl einzutragen ist.</t>
        </is>
      </c>
    </row>
    <row r="41">
      <c r="B41" s="25" t="inlineStr">
        <is>
          <t>Rücklage Reparatur und Wartung</t>
        </is>
      </c>
      <c r="C41" s="35" t="n">
        <v>15</v>
      </c>
      <c r="D41" s="28" t="inlineStr">
        <is>
          <t>Nicht weglassen. Ein Münzprüfer kostet 150–400 €, ein Kühlaggregat mehr. 15–25 € im Monat je Automat sind eine vernünftige Rücklage.</t>
        </is>
      </c>
    </row>
    <row r="42">
      <c r="B42" s="25" t="inlineStr">
        <is>
          <t>Versicherung je Automat pro Monat</t>
        </is>
      </c>
      <c r="C42" s="35" t="n">
        <v>4</v>
      </c>
      <c r="D42" s="28" t="inlineStr">
        <is>
          <t>Anteilig aus deiner Betriebs- oder Inhaltsversicherung.</t>
        </is>
      </c>
    </row>
    <row r="43">
      <c r="B43" s="25" t="inlineStr">
        <is>
          <t>Telemetrie / Mobilfunk pro Monat</t>
        </is>
      </c>
      <c r="C43" s="35" t="n">
        <v>3</v>
      </c>
      <c r="D43" s="28" t="inlineStr">
        <is>
          <t>Nur wenn der Automat Füllstände meldet. Sonst 0.</t>
        </is>
      </c>
    </row>
    <row r="44">
      <c r="B44" s="25" t="inlineStr">
        <is>
          <t>Sonstiges pro Monat</t>
        </is>
      </c>
      <c r="C44" s="35" t="n">
        <v>0</v>
      </c>
    </row>
    <row r="46">
      <c r="B46" s="23" t="inlineStr">
        <is>
          <t>ERGEBNIS</t>
        </is>
      </c>
      <c r="C46" s="24" t="n"/>
      <c r="D46" s="24" t="n"/>
    </row>
    <row r="47">
      <c r="B47" s="33" t="inlineStr">
        <is>
          <t>Kosten pro Monat gesamt</t>
        </is>
      </c>
      <c r="C47" s="21">
        <f>C23+C27+C35+C36+C40+C41+C42+C43+C44</f>
        <v/>
      </c>
    </row>
    <row r="48">
      <c r="B48" s="33" t="inlineStr">
        <is>
          <t>Gewinn pro Monat</t>
        </is>
      </c>
      <c r="C48" s="38">
        <f>C16-C47</f>
        <v/>
      </c>
      <c r="D48" s="28" t="inlineStr">
        <is>
          <t>Rohertrag minus alle Kosten, deine Arbeitszeit eingerechnet.</t>
        </is>
      </c>
    </row>
    <row r="49">
      <c r="B49" s="33" t="inlineStr">
        <is>
          <t>Gewinn pro Jahr</t>
        </is>
      </c>
      <c r="C49" s="21">
        <f>C48*12</f>
        <v/>
      </c>
    </row>
    <row r="51">
      <c r="B51" s="33" t="inlineStr">
        <is>
          <t>Break-even: nötige Verkäufe pro Tag</t>
        </is>
      </c>
      <c r="C51" s="39">
        <f>IFERROR(ROUND(C47/C15/C9,1),0)</f>
        <v/>
      </c>
      <c r="D51" s="28" t="inlineStr">
        <is>
          <t>Ab so vielen Verkäufen am Tag trägt sich der Standort. Liegt diese Zahl über deiner Schätzung oben, ist der Standort nicht rentabel.</t>
        </is>
      </c>
    </row>
    <row r="52">
      <c r="B52" s="25" t="inlineStr">
        <is>
          <t>Puffer</t>
        </is>
      </c>
      <c r="C52" s="40">
        <f>IF(C13=0,"",IFERROR(C13/C51-1,""))</f>
        <v/>
      </c>
      <c r="D52" s="28" t="inlineStr">
        <is>
          <t>Wie weit du über dem Break-even liegst. Unter 20 % ist der Standort knapp — eine Preiserhöhung beim Lieferanten kippt ihn.</t>
        </is>
      </c>
    </row>
    <row r="54">
      <c r="B54" s="25" t="inlineStr">
        <is>
          <t>Anschaffungspreis des Automaten</t>
        </is>
      </c>
      <c r="C54" s="35" t="n">
        <v>2500</v>
      </c>
      <c r="D54" s="28" t="inlineStr">
        <is>
          <t>Gebraucht 800–2.500 €, neu 3.000–8.000 €. Bei Miete oder Leasing hier 0 eintragen und die Rate unter „Sonstiges“ erfassen.</t>
        </is>
      </c>
    </row>
    <row r="55">
      <c r="B55" s="25" t="inlineStr">
        <is>
          <t>Erstbefüllung (gebundenes Kapital)</t>
        </is>
      </c>
      <c r="C55" s="35" t="n">
        <v>250</v>
      </c>
    </row>
    <row r="56">
      <c r="B56" s="33" t="inlineStr">
        <is>
          <t>Amortisation in Monaten</t>
        </is>
      </c>
      <c r="C56" s="41">
        <f>IF(C48&lt;=0,"trägt sich nicht",ROUND((C54+C55)/C48,1))</f>
        <v/>
      </c>
      <c r="D56" s="28" t="inlineStr">
        <is>
          <t>Nach so vielen Monaten hast du Automat und Erstbefüllung wieder drin.</t>
        </is>
      </c>
    </row>
    <row r="59">
      <c r="B59" s="25" t="inlineStr">
        <is>
          <t>Einschätzung</t>
        </is>
      </c>
      <c r="C59" s="42">
        <f>IF(C48&lt;=0,"Finger weg — dieser Standort kostet dich Geld.",IF(C48&lt;25,"Grenzwertig. Lohnt nur, wenn die Fahrt ohnehin ansteht.",IF(C48&lt;75,"Solide. Kein Selbstläufer, aber er trägt sich.","Guter Standort. Sichere ihn dir schriftlich.")))</f>
        <v/>
      </c>
      <c r="D59" s="43" t="n"/>
    </row>
    <row r="62">
      <c r="B62" s="6" t="inlineStr">
        <is>
          <t>Hinweis: Die Datei rechnet ohne Umsatzsteuer auf der Ergebnisseite, weil der Rohertrag bereits netto ermittelt wird. Ertragsteuern sind nicht berücksichtigt.</t>
        </is>
      </c>
    </row>
  </sheetData>
  <mergeCells count="1">
    <mergeCell ref="C59:D5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J26"/>
  <sheetViews>
    <sheetView showGridLines="0" workbookViewId="0">
      <selection activeCell="A1" sqref="A1"/>
    </sheetView>
  </sheetViews>
  <sheetFormatPr baseColWidth="8" defaultRowHeight="15"/>
  <cols>
    <col width="2" customWidth="1" min="1" max="1"/>
    <col width="34"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2">
      <c r="B2" s="7" t="inlineStr">
        <is>
          <t>Standortvergleich</t>
        </is>
      </c>
    </row>
    <row r="3">
      <c r="B3" s="8" t="inlineStr">
        <is>
          <t>Bis zu acht Standorte nebeneinander. Vereinfachte Rechnung für die Vorauswahl — den Favoriten rechnest du im Standort-Rechner vollständig durch.</t>
        </is>
      </c>
    </row>
    <row r="6">
      <c r="B6" s="44" t="inlineStr">
        <is>
          <t>Bezeichnung</t>
        </is>
      </c>
      <c r="C6" s="10" t="inlineStr">
        <is>
          <t>Firma Müller</t>
        </is>
      </c>
      <c r="D6" s="10" t="inlineStr">
        <is>
          <t>Waschsalon Bahnhof</t>
        </is>
      </c>
      <c r="E6" s="10" t="inlineStr">
        <is>
          <t>Praxis Dr. Weber</t>
        </is>
      </c>
      <c r="F6" s="10" t="n"/>
      <c r="G6" s="10" t="n"/>
      <c r="H6" s="10" t="n"/>
      <c r="I6" s="10" t="n"/>
      <c r="J6" s="10" t="n"/>
    </row>
    <row r="7">
      <c r="B7" s="44" t="inlineStr">
        <is>
          <t>Personen täglich</t>
        </is>
      </c>
      <c r="C7" s="45" t="n">
        <v>80</v>
      </c>
      <c r="D7" s="45" t="n">
        <v>120</v>
      </c>
      <c r="E7" s="45" t="n">
        <v>45</v>
      </c>
      <c r="F7" s="45" t="n"/>
      <c r="G7" s="45" t="n"/>
      <c r="H7" s="45" t="n"/>
      <c r="I7" s="45" t="n"/>
      <c r="J7" s="45" t="n"/>
    </row>
    <row r="8">
      <c r="B8" s="44" t="inlineStr">
        <is>
          <t>Öffnungstage / Monat</t>
        </is>
      </c>
      <c r="C8" s="45" t="n">
        <v>21</v>
      </c>
      <c r="D8" s="45" t="n">
        <v>30</v>
      </c>
      <c r="E8" s="45" t="n">
        <v>20</v>
      </c>
      <c r="F8" s="45" t="n"/>
      <c r="G8" s="45" t="n"/>
      <c r="H8" s="45" t="n"/>
      <c r="I8" s="45" t="n"/>
      <c r="J8" s="45" t="n"/>
    </row>
    <row r="9">
      <c r="B9" s="44" t="inlineStr">
        <is>
          <t>Verkäufe je Person und Tag</t>
        </is>
      </c>
      <c r="C9" s="46" t="n">
        <v>0.08</v>
      </c>
      <c r="D9" s="46" t="n">
        <v>0.04</v>
      </c>
      <c r="E9" s="46" t="n">
        <v>0.1</v>
      </c>
      <c r="F9" s="46" t="n"/>
      <c r="G9" s="46" t="n"/>
      <c r="H9" s="46" t="n"/>
      <c r="I9" s="46" t="n"/>
      <c r="J9" s="46" t="n"/>
    </row>
    <row r="10">
      <c r="B10" s="44" t="inlineStr">
        <is>
          <t>Rohertrag je Verkauf</t>
        </is>
      </c>
      <c r="C10" s="11" t="n">
        <v>0.55</v>
      </c>
      <c r="D10" s="11" t="n">
        <v>0.55</v>
      </c>
      <c r="E10" s="11" t="n">
        <v>0.55</v>
      </c>
      <c r="F10" s="11" t="n"/>
      <c r="G10" s="11" t="n"/>
      <c r="H10" s="11" t="n"/>
      <c r="I10" s="11" t="n"/>
      <c r="J10" s="11" t="n"/>
    </row>
    <row r="11">
      <c r="B11" s="44" t="inlineStr">
        <is>
          <t>Standortkosten / Monat</t>
        </is>
      </c>
      <c r="C11" s="11" t="n">
        <v>30</v>
      </c>
      <c r="D11" s="11" t="n">
        <v>0</v>
      </c>
      <c r="E11" s="11" t="n">
        <v>25</v>
      </c>
      <c r="F11" s="11" t="n"/>
      <c r="G11" s="11" t="n"/>
      <c r="H11" s="11" t="n"/>
      <c r="I11" s="11" t="n"/>
      <c r="J11" s="11" t="n"/>
    </row>
    <row r="12">
      <c r="B12" s="44" t="inlineStr">
        <is>
          <t>Strom / Monat</t>
        </is>
      </c>
      <c r="C12" s="11" t="n">
        <v>14</v>
      </c>
      <c r="D12" s="11" t="n">
        <v>20</v>
      </c>
      <c r="E12" s="11" t="n">
        <v>12</v>
      </c>
      <c r="F12" s="11" t="n"/>
      <c r="G12" s="11" t="n"/>
      <c r="H12" s="11" t="n"/>
      <c r="I12" s="11" t="n"/>
      <c r="J12" s="11" t="n"/>
    </row>
    <row r="13">
      <c r="B13" s="44" t="inlineStr">
        <is>
          <t>Fahrt und Zeit / Monat</t>
        </is>
      </c>
      <c r="C13" s="11" t="n">
        <v>64</v>
      </c>
      <c r="D13" s="11" t="n">
        <v>40</v>
      </c>
      <c r="E13" s="11" t="n">
        <v>80</v>
      </c>
      <c r="F13" s="11" t="n"/>
      <c r="G13" s="11" t="n"/>
      <c r="H13" s="11" t="n"/>
      <c r="I13" s="11" t="n"/>
      <c r="J13" s="11" t="n"/>
    </row>
    <row r="14">
      <c r="B14" s="44" t="inlineStr">
        <is>
          <t>Sonstige Kosten / Monat</t>
        </is>
      </c>
      <c r="C14" s="11" t="n">
        <v>22</v>
      </c>
      <c r="D14" s="11" t="n">
        <v>22</v>
      </c>
      <c r="E14" s="11" t="n">
        <v>22</v>
      </c>
      <c r="F14" s="11" t="n"/>
      <c r="G14" s="11" t="n"/>
      <c r="H14" s="11" t="n"/>
      <c r="I14" s="11" t="n"/>
      <c r="J14" s="11" t="n"/>
    </row>
    <row r="16">
      <c r="B16" s="44" t="inlineStr">
        <is>
          <t>Verkäufe pro Monat</t>
        </is>
      </c>
      <c r="C16" s="47">
        <f>IF(C6="","",ROUND(C7*C9*C8,0))</f>
        <v/>
      </c>
      <c r="D16" s="47">
        <f>IF(D6="","",ROUND(D7*D9*D8,0))</f>
        <v/>
      </c>
      <c r="E16" s="47">
        <f>IF(E6="","",ROUND(E7*E9*E8,0))</f>
        <v/>
      </c>
      <c r="F16" s="47">
        <f>IF(F6="","",ROUND(F7*F9*F8,0))</f>
        <v/>
      </c>
      <c r="G16" s="47">
        <f>IF(G6="","",ROUND(G7*G9*G8,0))</f>
        <v/>
      </c>
      <c r="H16" s="47">
        <f>IF(H6="","",ROUND(H7*H9*H8,0))</f>
        <v/>
      </c>
      <c r="I16" s="47">
        <f>IF(I6="","",ROUND(I7*I9*I8,0))</f>
        <v/>
      </c>
      <c r="J16" s="47">
        <f>IF(J6="","",ROUND(J7*J9*J8,0))</f>
        <v/>
      </c>
    </row>
    <row r="17">
      <c r="B17" s="44" t="inlineStr">
        <is>
          <t>Rohertrag pro Monat</t>
        </is>
      </c>
      <c r="C17" s="13">
        <f>IF(C6="","",C16*C10)</f>
        <v/>
      </c>
      <c r="D17" s="13">
        <f>IF(D6="","",D16*D10)</f>
        <v/>
      </c>
      <c r="E17" s="13">
        <f>IF(E6="","",E16*E10)</f>
        <v/>
      </c>
      <c r="F17" s="13">
        <f>IF(F6="","",F16*F10)</f>
        <v/>
      </c>
      <c r="G17" s="13">
        <f>IF(G6="","",G16*G10)</f>
        <v/>
      </c>
      <c r="H17" s="13">
        <f>IF(H6="","",H16*H10)</f>
        <v/>
      </c>
      <c r="I17" s="13">
        <f>IF(I6="","",I16*I10)</f>
        <v/>
      </c>
      <c r="J17" s="13">
        <f>IF(J6="","",J16*J10)</f>
        <v/>
      </c>
    </row>
    <row r="18">
      <c r="B18" s="44" t="inlineStr">
        <is>
          <t>Kosten pro Monat</t>
        </is>
      </c>
      <c r="C18" s="13">
        <f>IF(C6="","",C11+C12+C13+C14)</f>
        <v/>
      </c>
      <c r="D18" s="13">
        <f>IF(D6="","",D11+D12+D13+D14)</f>
        <v/>
      </c>
      <c r="E18" s="13">
        <f>IF(E6="","",E11+E12+E13+E14)</f>
        <v/>
      </c>
      <c r="F18" s="13">
        <f>IF(F6="","",F11+F12+F13+F14)</f>
        <v/>
      </c>
      <c r="G18" s="13">
        <f>IF(G6="","",G11+G12+G13+G14)</f>
        <v/>
      </c>
      <c r="H18" s="13">
        <f>IF(H6="","",H11+H12+H13+H14)</f>
        <v/>
      </c>
      <c r="I18" s="13">
        <f>IF(I6="","",I11+I12+I13+I14)</f>
        <v/>
      </c>
      <c r="J18" s="13">
        <f>IF(J6="","",J11+J12+J13+J14)</f>
        <v/>
      </c>
    </row>
    <row r="19">
      <c r="B19" s="44" t="inlineStr">
        <is>
          <t>Gewinn pro Monat</t>
        </is>
      </c>
      <c r="C19" s="14">
        <f>IF(C6="","",C17-C18)</f>
        <v/>
      </c>
      <c r="D19" s="14">
        <f>IF(D6="","",D17-D18)</f>
        <v/>
      </c>
      <c r="E19" s="14">
        <f>IF(E6="","",E17-E18)</f>
        <v/>
      </c>
      <c r="F19" s="14">
        <f>IF(F6="","",F17-F18)</f>
        <v/>
      </c>
      <c r="G19" s="14">
        <f>IF(G6="","",G17-G18)</f>
        <v/>
      </c>
      <c r="H19" s="14">
        <f>IF(H6="","",H17-H18)</f>
        <v/>
      </c>
      <c r="I19" s="14">
        <f>IF(I6="","",I17-I18)</f>
        <v/>
      </c>
      <c r="J19" s="14">
        <f>IF(J6="","",J17-J18)</f>
        <v/>
      </c>
    </row>
    <row r="20">
      <c r="B20" s="44" t="inlineStr">
        <is>
          <t>Gewinn pro Jahr</t>
        </is>
      </c>
      <c r="C20" s="13">
        <f>IF(C6="","",C19*12)</f>
        <v/>
      </c>
      <c r="D20" s="13">
        <f>IF(D6="","",D19*12)</f>
        <v/>
      </c>
      <c r="E20" s="13">
        <f>IF(E6="","",E19*12)</f>
        <v/>
      </c>
      <c r="F20" s="13">
        <f>IF(F6="","",F19*12)</f>
        <v/>
      </c>
      <c r="G20" s="13">
        <f>IF(G6="","",G19*12)</f>
        <v/>
      </c>
      <c r="H20" s="13">
        <f>IF(H6="","",H19*12)</f>
        <v/>
      </c>
      <c r="I20" s="13">
        <f>IF(I6="","",I19*12)</f>
        <v/>
      </c>
      <c r="J20" s="13">
        <f>IF(J6="","",J19*12)</f>
        <v/>
      </c>
    </row>
    <row r="21">
      <c r="B21" s="44" t="inlineStr">
        <is>
          <t>Break-even Verkäufe / Tag</t>
        </is>
      </c>
      <c r="C21" s="48">
        <f>IF(OR(C6="",C10=0,C8=0),"",ROUND(C18/C10/C8,1))</f>
        <v/>
      </c>
      <c r="D21" s="48">
        <f>IF(OR(D6="",D10=0,D8=0),"",ROUND(D18/D10/D8,1))</f>
        <v/>
      </c>
      <c r="E21" s="48">
        <f>IF(OR(E6="",E10=0,E8=0),"",ROUND(E18/E10/E8,1))</f>
        <v/>
      </c>
      <c r="F21" s="48">
        <f>IF(OR(F6="",F10=0,F8=0),"",ROUND(F18/F10/F8,1))</f>
        <v/>
      </c>
      <c r="G21" s="48">
        <f>IF(OR(G6="",G10=0,G8=0),"",ROUND(G18/G10/G8,1))</f>
        <v/>
      </c>
      <c r="H21" s="48">
        <f>IF(OR(H6="",H10=0,H8=0),"",ROUND(H18/H10/H8,1))</f>
        <v/>
      </c>
      <c r="I21" s="48">
        <f>IF(OR(I6="",I10=0,I8=0),"",ROUND(I18/I10/I8,1))</f>
        <v/>
      </c>
      <c r="J21" s="48">
        <f>IF(OR(J6="",J10=0,J8=0),"",ROUND(J18/J10/J8,1))</f>
        <v/>
      </c>
    </row>
    <row r="24">
      <c r="B24" s="4" t="inlineStr">
        <is>
          <t>SO LIEST DU DIE TABELLE</t>
        </is>
      </c>
    </row>
    <row r="25">
      <c r="B25" s="3" t="inlineStr">
        <is>
          <t>Der beste Standort ist nicht der mit dem höchsten Umsatz, sondern der mit dem besten Verhältnis von Gewinn zu Aufwand. Ein Standort mit 60 € Gewinn direkt um die Ecke schlägt einen mit 90 € Gewinn und 40 km Anfahrt.</t>
        </is>
      </c>
    </row>
    <row r="26">
      <c r="B26" s="3" t="inlineStr">
        <is>
          <t>Achte besonders auf den Break-even. Liegt er nah an deiner geschätzten Verkaufszahl, ist der Standort ein Wackelkandidat: Eine Preiserhöhung beim Großhandel oder ein Monat mit Betriebsferien kippt ihn ins Minus.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D28"/>
  <sheetViews>
    <sheetView showGridLines="0" workbookViewId="0">
      <selection activeCell="A1" sqref="A1"/>
    </sheetView>
  </sheetViews>
  <sheetFormatPr baseColWidth="8" defaultRowHeight="15"/>
  <cols>
    <col width="2" customWidth="1" min="1" max="1"/>
    <col width="40" customWidth="1" min="2" max="2"/>
    <col width="24" customWidth="1" min="3" max="3"/>
    <col width="52" customWidth="1" min="4" max="4"/>
  </cols>
  <sheetData>
    <row r="2">
      <c r="B2" s="7" t="inlineStr">
        <is>
          <t>Erfahrungswerte und Fußangeln</t>
        </is>
      </c>
    </row>
    <row r="3">
      <c r="B3" s="8" t="inlineStr">
        <is>
          <t>Anhaltspunkte für die Schätzung. Keine garantierten Zahlen — jeder Standort ist anders.</t>
        </is>
      </c>
    </row>
    <row r="5">
      <c r="B5" s="49" t="inlineStr">
        <is>
          <t>Größe</t>
        </is>
      </c>
      <c r="C5" s="49" t="inlineStr">
        <is>
          <t>Übliche Spanne</t>
        </is>
      </c>
      <c r="D5" s="49" t="inlineStr">
        <is>
          <t>Worauf es ankommt</t>
        </is>
      </c>
    </row>
    <row r="6" ht="32" customHeight="1">
      <c r="B6" s="50" t="inlineStr">
        <is>
          <t>Verkäufe je Person und Tag</t>
        </is>
      </c>
      <c r="C6" s="51" t="inlineStr">
        <is>
          <t>0,05 – 0,15</t>
        </is>
      </c>
      <c r="D6" s="51" t="inlineStr">
        <is>
          <t>Betriebe mit Pausenzeiten am oberen Ende, Durchgangsorte am unteren. Gibt es eine Kantine oder einen Bäcker nebenan, halbiert sich der Wert.</t>
        </is>
      </c>
    </row>
    <row r="7" ht="32" customHeight="1">
      <c r="B7" s="50" t="inlineStr">
        <is>
          <t>Rohertrag je Verkauf</t>
        </is>
      </c>
      <c r="C7" s="51" t="inlineStr">
        <is>
          <t>0,40 – 0,80 €</t>
        </is>
      </c>
      <c r="D7" s="51" t="inlineStr">
        <is>
          <t>Bei Snacks meist höher als bei Getränken, weil der Einkauf günstiger ist und kein Pfand anfällt.</t>
        </is>
      </c>
    </row>
    <row r="8" ht="32" customHeight="1">
      <c r="B8" s="50" t="inlineStr">
        <is>
          <t>Standortmiete fest</t>
        </is>
      </c>
      <c r="C8" s="51" t="inlineStr">
        <is>
          <t>0 – 80 € / Monat</t>
        </is>
      </c>
      <c r="D8" s="51" t="inlineStr">
        <is>
          <t>Viele Betriebe verlangen nichts, wenn die Belegschaft den Automaten will. Immer zuerst nach der kostenlosen Variante fragen.</t>
        </is>
      </c>
    </row>
    <row r="9" ht="32" customHeight="1">
      <c r="B9" s="50" t="inlineStr">
        <is>
          <t>Umsatzbeteiligung</t>
        </is>
      </c>
      <c r="C9" s="51" t="inlineStr">
        <is>
          <t>10 – 20 % vom Brutto</t>
        </is>
      </c>
      <c r="D9" s="51" t="inlineStr">
        <is>
          <t>Bei hohem Umsatz teurer als eine feste Miete. Rechne beide Modelle durch, bevor du unterschreibst.</t>
        </is>
      </c>
    </row>
    <row r="10" ht="32" customHeight="1">
      <c r="B10" s="50" t="inlineStr">
        <is>
          <t>Stromverbrauch ohne Kühlung</t>
        </is>
      </c>
      <c r="C10" s="51" t="inlineStr">
        <is>
          <t>15 – 25 kWh / Monat</t>
        </is>
      </c>
      <c r="D10" s="51" t="inlineStr">
        <is>
          <t>Reine Spiralautomaten brauchen fast nur Licht und Steuerung.</t>
        </is>
      </c>
    </row>
    <row r="11" ht="32" customHeight="1">
      <c r="B11" s="50" t="inlineStr">
        <is>
          <t>Stromverbrauch mit Kühlung</t>
        </is>
      </c>
      <c r="C11" s="51" t="inlineStr">
        <is>
          <t>40 – 90 kWh / Monat</t>
        </is>
      </c>
      <c r="D11" s="51" t="inlineStr">
        <is>
          <t>Im Sommer und in warmen Räumen am oberen Ende. Ältere Geräte deutlich darüber.</t>
        </is>
      </c>
    </row>
    <row r="12" ht="32" customHeight="1">
      <c r="B12" s="50" t="inlineStr">
        <is>
          <t>Automat gebraucht</t>
        </is>
      </c>
      <c r="C12" s="51" t="inlineStr">
        <is>
          <t>800 – 2.500 €</t>
        </is>
      </c>
      <c r="D12" s="51" t="inlineStr">
        <is>
          <t>Auf Ersatzteilversorgung und Münzprüfer achten. Ein Gerät ohne Ersatzteile ist beim ersten Defekt Schrott.</t>
        </is>
      </c>
    </row>
    <row r="13" ht="32" customHeight="1">
      <c r="B13" s="50" t="inlineStr">
        <is>
          <t>Automat neu</t>
        </is>
      </c>
      <c r="C13" s="51" t="inlineStr">
        <is>
          <t>3.000 – 8.000 €</t>
        </is>
      </c>
      <c r="D13" s="51" t="inlineStr">
        <is>
          <t>Rechnet sich meist erst ab mehreren Standorten oder bei Kartenzahlung.</t>
        </is>
      </c>
    </row>
    <row r="14" ht="32" customHeight="1">
      <c r="B14" s="50" t="inlineStr">
        <is>
          <t>Rücklage Reparatur</t>
        </is>
      </c>
      <c r="C14" s="51" t="inlineStr">
        <is>
          <t>15 – 25 € / Monat</t>
        </is>
      </c>
      <c r="D14" s="51" t="inlineStr">
        <is>
          <t>Münzprüfer 150–400 €, Kühlaggregat 400–900 €, Steuerplatine 200–500 €.</t>
        </is>
      </c>
    </row>
    <row r="15" ht="32" customHeight="1">
      <c r="B15" s="50" t="inlineStr">
        <is>
          <t>Schwund und Verderb</t>
        </is>
      </c>
      <c r="C15" s="51" t="inlineStr">
        <is>
          <t>1 – 4 %</t>
        </is>
      </c>
      <c r="D15" s="51" t="inlineStr">
        <is>
          <t>Abgelaufene Ware ist der größere Posten, nicht Diebstahl. Kurze Mindesthaltbarkeit nur bei hohem Durchsatz einkaufen.</t>
        </is>
      </c>
    </row>
    <row r="16" ht="32" customHeight="1">
      <c r="B16" s="50" t="inlineStr">
        <is>
          <t>Befüllfahrten</t>
        </is>
      </c>
      <c r="C16" s="51" t="inlineStr">
        <is>
          <t>1 – 4 pro Monat</t>
        </is>
      </c>
      <c r="D16" s="51" t="inlineStr">
        <is>
          <t>Je seltener, desto besser für die Rendite — aber ein leerer Automat verliert Stammkunden.</t>
        </is>
      </c>
    </row>
    <row r="19">
      <c r="B19" s="52" t="inlineStr">
        <is>
          <t>WORAN STANDORTE SCHEITERN</t>
        </is>
      </c>
    </row>
    <row r="21">
      <c r="B21" s="3" t="inlineStr">
        <is>
          <t>•  Keine schriftliche Vereinbarung. Der Ansprechpartner wechselt, der Nachfolger weiß von nichts, und der Automat steht plötzlich im Weg.</t>
        </is>
      </c>
    </row>
    <row r="22">
      <c r="B22" s="3" t="inlineStr">
        <is>
          <t>•  Strom nicht geregelt. Wer zahlt ihn? Ohne Absprache steht das irgendwann im Raum, meist verbunden mit einer Nachforderung.</t>
        </is>
      </c>
    </row>
    <row r="23">
      <c r="B23" s="3" t="inlineStr">
        <is>
          <t>•  Kein Zugang außerhalb der Öffnungszeiten. Wenn du nur dienstags zwischen 9 und 11 Uhr befüllen kannst, bestimmt der Standort deinen Kalender.</t>
        </is>
      </c>
    </row>
    <row r="24">
      <c r="B24" s="3" t="inlineStr">
        <is>
          <t>•  Automat am falschen Platz. Nicht sichtbar heißt nicht gekauft. Der beste Platz ist dort, wo Menschen ohnehin warten.</t>
        </is>
      </c>
    </row>
    <row r="25">
      <c r="B25" s="3" t="inlineStr">
        <is>
          <t>•  Keine Kartenzahlung. Der Anteil der Menschen ohne Bargeld wächst. Ein Kartenmodul kostet Geld und laufende Gebühren, kann den Umsatz aber deutlich heben — rechne es im Standort-Rechner unter „Sonstiges“ durch.</t>
        </is>
      </c>
    </row>
    <row r="28">
      <c r="B28" s="6" t="inlineStr">
        <is>
          <t>Arbeitshilfe, keine Steuer- oder Rechtsberatung. Alle Werte sind Erfahrungswerte und müssen für den eigenen Fall geprüft werden. Stand: August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2026-08-05T14:47:17Z</dcterms:created>
  <dcterms:modified xsi:type="dcterms:W3CDTF">2026-08-05T14:47:17Z</dcterms:modified>
</cp:coreProperties>
</file>