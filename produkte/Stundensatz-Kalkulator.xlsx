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Kalkulation" sheetId="2" state="visible" r:id="rId2"/>
    <sheet name="Projektpreis" sheetId="3" state="visible" r:id="rId3"/>
    <sheet name="Verglei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;[Red]-#,##0.00 &quot;€&quot;;&quot;–&quot;"/>
    <numFmt numFmtId="165" formatCode="0.0%"/>
    <numFmt numFmtId="166" formatCode="#,##0 &quot;€&quot;;[Red]-#,##0 &quot;€&quot;;&quot;–&quot;"/>
  </numFmts>
  <fonts count="22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sz val="11"/>
    </font>
    <font>
      <name val="Arial"/>
      <b val="1"/>
      <color rgb="001F3864"/>
      <sz val="12"/>
    </font>
    <font>
      <name val="Arial"/>
      <b val="1"/>
      <color rgb="00C00000"/>
      <sz val="12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color rgb="000000FF"/>
      <sz val="11"/>
    </font>
    <font>
      <name val="Arial"/>
      <color rgb="00595959"/>
      <sz val="9"/>
    </font>
    <font>
      <name val="Arial"/>
      <b val="1"/>
      <sz val="11"/>
    </font>
    <font>
      <name val="Arial"/>
      <b val="1"/>
      <color rgb="00FFFFFF"/>
      <sz val="14"/>
    </font>
    <font>
      <name val="Arial"/>
      <b val="1"/>
      <color rgb="00C00000"/>
      <sz val="9"/>
    </font>
    <font>
      <name val="Arial"/>
      <i val="1"/>
      <color rgb="00C00000"/>
      <sz val="9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vertical="center" wrapText="1"/>
    </xf>
    <xf numFmtId="164" fontId="8" fillId="3" borderId="1" pivotButton="0" quotePrefix="0" xfId="0"/>
    <xf numFmtId="0" fontId="9" fillId="0" borderId="0" applyAlignment="1" pivotButton="0" quotePrefix="0" xfId="0">
      <alignment vertical="center" wrapText="1"/>
    </xf>
    <xf numFmtId="164" fontId="2" fillId="0" borderId="1" pivotButton="0" quotePrefix="0" xfId="0"/>
    <xf numFmtId="165" fontId="8" fillId="3" borderId="1" pivotButton="0" quotePrefix="0" xfId="0"/>
    <xf numFmtId="0" fontId="10" fillId="0" borderId="1" applyAlignment="1" pivotButton="0" quotePrefix="0" xfId="0">
      <alignment vertical="center" wrapText="1"/>
    </xf>
    <xf numFmtId="164" fontId="10" fillId="4" borderId="1" pivotButton="0" quotePrefix="0" xfId="0"/>
    <xf numFmtId="164" fontId="10" fillId="0" borderId="1" pivotButton="0" quotePrefix="0" xfId="0"/>
    <xf numFmtId="0" fontId="8" fillId="3" borderId="1" pivotButton="0" quotePrefix="0" xfId="0"/>
    <xf numFmtId="0" fontId="2" fillId="0" borderId="1" pivotButton="0" quotePrefix="0" xfId="0"/>
    <xf numFmtId="3" fontId="10" fillId="4" borderId="1" pivotButton="0" quotePrefix="0" xfId="0"/>
    <xf numFmtId="0" fontId="11" fillId="2" borderId="1" pivotButton="0" quotePrefix="0" xfId="0"/>
    <xf numFmtId="164" fontId="11" fillId="2" borderId="1" pivotButton="0" quotePrefix="0" xfId="0"/>
    <xf numFmtId="0" fontId="12" fillId="0" borderId="0" applyAlignment="1" pivotButton="0" quotePrefix="0" xfId="0">
      <alignment vertical="center" wrapText="1"/>
    </xf>
    <xf numFmtId="164" fontId="10" fillId="5" borderId="1" pivotButton="0" quotePrefix="0" xfId="0"/>
    <xf numFmtId="0" fontId="13" fillId="0" borderId="0" pivotButton="0" quotePrefix="0" xfId="0"/>
    <xf numFmtId="0" fontId="14" fillId="2" borderId="1" applyAlignment="1" pivotButton="0" quotePrefix="0" xfId="0">
      <alignment horizontal="center"/>
    </xf>
    <xf numFmtId="0" fontId="16" fillId="3" borderId="1" pivotButton="0" quotePrefix="0" xfId="0"/>
    <xf numFmtId="164" fontId="16" fillId="6" borderId="1" pivotButton="0" quotePrefix="0" xfId="0"/>
    <xf numFmtId="0" fontId="10" fillId="0" borderId="0" pivotButton="0" quotePrefix="0" xfId="0"/>
    <xf numFmtId="0" fontId="17" fillId="2" borderId="0" pivotButton="0" quotePrefix="0" xfId="0"/>
    <xf numFmtId="164" fontId="17" fillId="2" borderId="1" pivotButton="0" quotePrefix="0" xfId="0"/>
    <xf numFmtId="0" fontId="18" fillId="0" borderId="0" pivotButton="0" quotePrefix="0" xfId="0"/>
    <xf numFmtId="0" fontId="14" fillId="2" borderId="1" pivotButton="0" quotePrefix="0" xfId="0"/>
    <xf numFmtId="166" fontId="19" fillId="2" borderId="1" applyAlignment="1" pivotButton="0" quotePrefix="0" xfId="0">
      <alignment horizontal="center"/>
    </xf>
    <xf numFmtId="0" fontId="16" fillId="0" borderId="1" pivotButton="0" quotePrefix="0" xfId="0"/>
    <xf numFmtId="166" fontId="16" fillId="0" borderId="1" pivotButton="0" quotePrefix="0" xfId="0"/>
    <xf numFmtId="0" fontId="20" fillId="0" borderId="1" pivotButton="0" quotePrefix="0" xfId="0"/>
    <xf numFmtId="166" fontId="20" fillId="5" borderId="1" pivotButton="0" quotePrefix="0" xfId="0"/>
    <xf numFmtId="164" fontId="20" fillId="5" borderId="1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Stundensatz- und Preiskalkulator</t>
        </is>
      </c>
    </row>
    <row r="3">
      <c r="B3" s="2" t="inlineStr"/>
    </row>
    <row r="4">
      <c r="B4" s="3" t="inlineStr">
        <is>
          <t>Warum die übliche Rechnung falsch ist</t>
        </is>
      </c>
    </row>
    <row r="5">
      <c r="B5" s="2" t="inlineStr">
        <is>
          <t>Die meisten rechnen: Wunschgehalt geteilt durch 2.000 Stunden im Jahr.</t>
        </is>
      </c>
    </row>
    <row r="6">
      <c r="B6" s="2" t="inlineStr">
        <is>
          <t>Das ist der teuerste Rechenfehler in der Selbstständigkeit.</t>
        </is>
      </c>
    </row>
    <row r="7">
      <c r="B7" s="2" t="inlineStr"/>
    </row>
    <row r="8">
      <c r="B8" s="2" t="inlineStr">
        <is>
          <t>Warum? Weil du nicht 2.000 Stunden verkaufen kannst. Urlaub, Krankheit,</t>
        </is>
      </c>
    </row>
    <row r="9">
      <c r="B9" s="2" t="inlineStr">
        <is>
          <t>Feiertage, Angebote schreiben, Buchhaltung, Akquise, Weiterbildung —</t>
        </is>
      </c>
    </row>
    <row r="10">
      <c r="B10" s="2" t="inlineStr">
        <is>
          <t>all das kostet Zeit, die niemand bezahlt. Realistisch bleiben von 2.000</t>
        </is>
      </c>
    </row>
    <row r="11">
      <c r="B11" s="2" t="inlineStr">
        <is>
          <t>Stunden etwa 1.000 bis 1.200 fakturierbare übrig.</t>
        </is>
      </c>
    </row>
    <row r="12">
      <c r="B12" s="2" t="inlineStr"/>
    </row>
    <row r="13">
      <c r="B13" s="2" t="inlineStr">
        <is>
          <t>Dazu kommen Steuern, Krankenversicherung und Altersvorsorge, die bei</t>
        </is>
      </c>
    </row>
    <row r="14">
      <c r="B14" s="2" t="inlineStr">
        <is>
          <t>Angestellten der Arbeitgeber mitträgt. Als Selbstständiger zahlst du alles.</t>
        </is>
      </c>
    </row>
    <row r="15">
      <c r="B15" s="2" t="inlineStr"/>
    </row>
    <row r="16">
      <c r="B16" s="3" t="inlineStr">
        <is>
          <t>So arbeitest du damit</t>
        </is>
      </c>
    </row>
    <row r="17">
      <c r="B17" s="2" t="inlineStr">
        <is>
          <t>1. Blatt „Kalkulation“ öffnen und die gelben Felder ausfüllen.</t>
        </is>
      </c>
    </row>
    <row r="18">
      <c r="B18" s="2" t="inlineStr">
        <is>
          <t>2. Ganz unten steht dein Mindest-Stundensatz. Das ist die Untergrenze,</t>
        </is>
      </c>
    </row>
    <row r="19">
      <c r="B19" s="2" t="inlineStr">
        <is>
          <t xml:space="preserve">   nicht dein Wunschpreis.</t>
        </is>
      </c>
    </row>
    <row r="20">
      <c r="B20" s="2" t="inlineStr">
        <is>
          <t>3. Blatt „Projektpreis“ nutzen, um einzelne Angebote zu kalkulieren.</t>
        </is>
      </c>
    </row>
    <row r="21">
      <c r="B21" s="2" t="inlineStr">
        <is>
          <t>4. Blatt „Vergleich“ zeigt, was verschiedene Stundensätze im Jahr bedeuten.</t>
        </is>
      </c>
    </row>
    <row r="22">
      <c r="B22" s="2" t="inlineStr"/>
    </row>
    <row r="23">
      <c r="B23" s="3" t="inlineStr">
        <is>
          <t>Was der Kalkulator NICHT kann</t>
        </is>
      </c>
    </row>
    <row r="24">
      <c r="B24" s="2" t="inlineStr">
        <is>
          <t>Er sagt dir, was du mindestens verlangen musst — nicht, was der Markt zahlt.</t>
        </is>
      </c>
    </row>
    <row r="25">
      <c r="B25" s="2" t="inlineStr">
        <is>
          <t>Liegt dein Mindestsatz über dem, was üblich ist, hast du ein Problem, das</t>
        </is>
      </c>
    </row>
    <row r="26">
      <c r="B26" s="2" t="inlineStr">
        <is>
          <t>sich nicht wegrechnen lässt. Dann musst du entweder effizienter arbeiten,</t>
        </is>
      </c>
    </row>
    <row r="27">
      <c r="B27" s="2" t="inlineStr">
        <is>
          <t>höherwertige Leistungen anbieten oder die Zielgruppe wechseln.</t>
        </is>
      </c>
    </row>
    <row r="28">
      <c r="B28" s="2" t="inlineStr"/>
    </row>
    <row r="29">
      <c r="B29" s="4" t="inlineStr">
        <is>
          <t>Wichtiger Hinweis</t>
        </is>
      </c>
    </row>
    <row r="30">
      <c r="B30" s="2" t="inlineStr">
        <is>
          <t>Dieser Kalkulator ist eine Arbeitshilfe, KEINE Steuer- oder Rentenberatung.</t>
        </is>
      </c>
    </row>
    <row r="31">
      <c r="B31" s="2" t="inlineStr">
        <is>
          <t>Die Steuersätze sind Näherungswerte für eine grobe Orientierung — deine</t>
        </is>
      </c>
    </row>
    <row r="32">
      <c r="B32" s="2" t="inlineStr">
        <is>
          <t>tatsächliche Steuerlast hängt von Familienstand, weiteren Einkünften und</t>
        </is>
      </c>
    </row>
    <row r="33">
      <c r="B33" s="2" t="inlineStr">
        <is>
          <t>Freibeträgen ab. Für belastbare Zahlen: Steuerberater fragen.</t>
        </is>
      </c>
    </row>
    <row r="34">
      <c r="B34" s="2" t="inlineStr"/>
    </row>
    <row r="35">
      <c r="B35" s="2" t="inlineStr">
        <is>
          <t>Stand: August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52" customWidth="1" min="4" max="4"/>
  </cols>
  <sheetData>
    <row r="2">
      <c r="B2" s="5" t="inlineStr">
        <is>
          <t>Dein Mindest-Stundensatz</t>
        </is>
      </c>
    </row>
    <row r="3">
      <c r="B3" s="6" t="inlineStr">
        <is>
          <t>Gelbe Felder ausfüllen. Alles andere rechnet sich automatisch.</t>
        </is>
      </c>
    </row>
    <row r="5">
      <c r="B5" s="7" t="inlineStr">
        <is>
          <t>1. Was du zum Leben brauchst</t>
        </is>
      </c>
      <c r="C5" s="8" t="n"/>
      <c r="D5" s="8" t="n"/>
    </row>
    <row r="6">
      <c r="B6" s="9" t="inlineStr">
        <is>
          <t>Gewünschtes Netto pro Monat</t>
        </is>
      </c>
      <c r="C6" s="10" t="n">
        <v>2500</v>
      </c>
      <c r="D6" s="11" t="inlineStr">
        <is>
          <t>Was am Monatsende auf deinem Privatkonto ankommen soll.</t>
        </is>
      </c>
    </row>
    <row r="7">
      <c r="B7" s="9" t="inlineStr">
        <is>
          <t>Netto pro Jahr</t>
        </is>
      </c>
      <c r="C7" s="12">
        <f>C6*12</f>
        <v/>
      </c>
    </row>
    <row r="9">
      <c r="B9" s="7" t="inlineStr">
        <is>
          <t>2. Was zusätzlich abgeht</t>
        </is>
      </c>
      <c r="C9" s="8" t="n"/>
      <c r="D9" s="8" t="n"/>
    </row>
    <row r="10">
      <c r="B10" s="9" t="inlineStr">
        <is>
          <t>Einkommensteuer, geschätzt in %</t>
        </is>
      </c>
      <c r="C10" s="13" t="n">
        <v>0.25</v>
      </c>
      <c r="D10" s="11" t="inlineStr">
        <is>
          <t>Grobe Näherung. Bei 30.000–50.000 € Gewinn meist 20–30 %.</t>
        </is>
      </c>
    </row>
    <row r="11">
      <c r="B11" s="9" t="inlineStr">
        <is>
          <t>Krankenversicherung pro Monat</t>
        </is>
      </c>
      <c r="C11" s="10" t="n">
        <v>450</v>
      </c>
      <c r="D11" s="11" t="inlineStr">
        <is>
          <t>Freiwillig gesetzlich versichert: meist 350–550 €. Privat variiert stark.</t>
        </is>
      </c>
    </row>
    <row r="12">
      <c r="B12" s="9" t="inlineStr">
        <is>
          <t>Altersvorsorge pro Monat</t>
        </is>
      </c>
      <c r="C12" s="10" t="n">
        <v>300</v>
      </c>
      <c r="D12" s="11" t="inlineStr">
        <is>
          <t>Als Selbstständiger zahlt das niemand für dich. Nicht weglassen.</t>
        </is>
      </c>
    </row>
    <row r="13">
      <c r="B13" s="9" t="inlineStr">
        <is>
          <t>Summe Vorsorge pro Jahr</t>
        </is>
      </c>
      <c r="C13" s="12">
        <f>(C11+C12)*12</f>
        <v/>
      </c>
    </row>
    <row r="14">
      <c r="B14" s="14" t="inlineStr">
        <is>
          <t>Nötiger Gewinn vor Steuern</t>
        </is>
      </c>
      <c r="C14" s="15">
        <f>(C7+C13)/(1-C10)</f>
        <v/>
      </c>
      <c r="D14" s="11" t="inlineStr">
        <is>
          <t>Rückwärts gerechnet: Von diesem Betrag bleibt nach Steuern und Vorsorge dein Wunsch-Netto übrig.</t>
        </is>
      </c>
    </row>
    <row r="16">
      <c r="B16" s="7" t="inlineStr">
        <is>
          <t>3. Deine Betriebskosten</t>
        </is>
      </c>
      <c r="C16" s="8" t="n"/>
      <c r="D16" s="8" t="n"/>
    </row>
    <row r="17">
      <c r="B17" s="9" t="inlineStr">
        <is>
          <t>Büro oder Arbeitszimmer pro Monat</t>
        </is>
      </c>
      <c r="C17" s="10" t="n">
        <v>200</v>
      </c>
      <c r="D17" s="11" t="inlineStr">
        <is>
          <t>Miete, Strom, Reinigung.</t>
        </is>
      </c>
    </row>
    <row r="18">
      <c r="B18" s="9" t="inlineStr">
        <is>
          <t>Telefon, Internet, Mobilfunk</t>
        </is>
      </c>
      <c r="C18" s="10" t="n">
        <v>60</v>
      </c>
    </row>
    <row r="19">
      <c r="B19" s="9" t="inlineStr">
        <is>
          <t>Software, Werkzeuge, Lizenzen</t>
        </is>
      </c>
      <c r="C19" s="10" t="n">
        <v>80</v>
      </c>
      <c r="D19" s="11" t="inlineStr">
        <is>
          <t>Buchhaltung, Fachsoftware, Cloud.</t>
        </is>
      </c>
    </row>
    <row r="20">
      <c r="B20" s="9" t="inlineStr">
        <is>
          <t>Versicherungen (betrieblich)</t>
        </is>
      </c>
      <c r="C20" s="10" t="n">
        <v>50</v>
      </c>
      <c r="D20" s="11" t="inlineStr">
        <is>
          <t>Betriebshaftpflicht, Rechtsschutz.</t>
        </is>
      </c>
    </row>
    <row r="21">
      <c r="B21" s="9" t="inlineStr">
        <is>
          <t>Fahrzeug und Fahrtkosten</t>
        </is>
      </c>
      <c r="C21" s="10" t="n">
        <v>250</v>
      </c>
      <c r="D21" s="11" t="inlineStr">
        <is>
          <t>Leasing, Sprit, Wartung, ÖPNV.</t>
        </is>
      </c>
    </row>
    <row r="22">
      <c r="B22" s="9" t="inlineStr">
        <is>
          <t>Steuerberater und Buchhaltung</t>
        </is>
      </c>
      <c r="C22" s="10" t="n">
        <v>120</v>
      </c>
    </row>
    <row r="23">
      <c r="B23" s="9" t="inlineStr">
        <is>
          <t>Weiterbildung und Fachliteratur</t>
        </is>
      </c>
      <c r="C23" s="10" t="n">
        <v>60</v>
      </c>
    </row>
    <row r="24">
      <c r="B24" s="9" t="inlineStr">
        <is>
          <t>Werbung und Website</t>
        </is>
      </c>
      <c r="C24" s="10" t="n">
        <v>50</v>
      </c>
    </row>
    <row r="25">
      <c r="B25" s="9" t="inlineStr">
        <is>
          <t>Sonstiges und Puffer</t>
        </is>
      </c>
      <c r="C25" s="10" t="n">
        <v>100</v>
      </c>
      <c r="D25" s="11" t="inlineStr">
        <is>
          <t>Was immer dazwischenkommt.</t>
        </is>
      </c>
    </row>
    <row r="26">
      <c r="B26" s="14" t="inlineStr">
        <is>
          <t>Betriebskosten pro Jahr</t>
        </is>
      </c>
      <c r="C26" s="16">
        <f>SUM(C17:C25)*12</f>
        <v/>
      </c>
    </row>
    <row r="28">
      <c r="B28" s="7" t="inlineStr">
        <is>
          <t>4. Deine verkaufbare Zeit</t>
        </is>
      </c>
      <c r="C28" s="8" t="n"/>
      <c r="D28" s="8" t="n"/>
    </row>
    <row r="29">
      <c r="B29" s="9" t="inlineStr">
        <is>
          <t>Arbeitsstunden pro Woche</t>
        </is>
      </c>
      <c r="C29" s="17" t="n">
        <v>40</v>
      </c>
    </row>
    <row r="30">
      <c r="B30" s="9" t="inlineStr">
        <is>
          <t>Arbeitswochen pro Jahr</t>
        </is>
      </c>
      <c r="C30" s="17" t="n">
        <v>52</v>
      </c>
    </row>
    <row r="31">
      <c r="B31" s="9" t="inlineStr">
        <is>
          <t>Urlaubswochen</t>
        </is>
      </c>
      <c r="C31" s="17" t="n">
        <v>6</v>
      </c>
      <c r="D31" s="11" t="inlineStr">
        <is>
          <t>Nimm dir echten Urlaub. Wer 0 einträgt, kalkuliert sich in den Burnout.</t>
        </is>
      </c>
    </row>
    <row r="32">
      <c r="B32" s="9" t="inlineStr">
        <is>
          <t>Krankheitswochen</t>
        </is>
      </c>
      <c r="C32" s="17" t="n">
        <v>2</v>
      </c>
      <c r="D32" s="11" t="inlineStr">
        <is>
          <t>Auch Selbstständige werden krank. Realistisch: 2 Wochen.</t>
        </is>
      </c>
    </row>
    <row r="33">
      <c r="B33" s="9" t="inlineStr">
        <is>
          <t>Feiertage in Wochen</t>
        </is>
      </c>
      <c r="C33" s="17" t="n">
        <v>2</v>
      </c>
    </row>
    <row r="34">
      <c r="B34" s="9" t="inlineStr">
        <is>
          <t>Arbeitswochen effektiv</t>
        </is>
      </c>
      <c r="C34" s="18">
        <f>C30-C31-C32-C33</f>
        <v/>
      </c>
    </row>
    <row r="35">
      <c r="B35" s="9" t="inlineStr">
        <is>
          <t>Bruttoarbeitsstunden pro Jahr</t>
        </is>
      </c>
      <c r="C35" s="18">
        <f>C34*C29</f>
        <v/>
      </c>
    </row>
    <row r="36">
      <c r="B36" s="9" t="inlineStr">
        <is>
          <t>Anteil unbezahlte Arbeit in %</t>
        </is>
      </c>
      <c r="C36" s="13" t="n">
        <v>0.35</v>
      </c>
      <c r="D36" s="11" t="inlineStr">
        <is>
          <t>Angebote, Buchhaltung, Akquise, Weiterbildung, E-Mails. Realistisch 30–45 %.</t>
        </is>
      </c>
    </row>
    <row r="37">
      <c r="B37" s="14" t="inlineStr">
        <is>
          <t>Verkaufbare Stunden pro Jahr</t>
        </is>
      </c>
      <c r="C37" s="19">
        <f>C35*(1-C36)</f>
        <v/>
      </c>
      <c r="D37" s="11" t="inlineStr">
        <is>
          <t>Nur diese Stunden kannst du in Rechnung stellen.</t>
        </is>
      </c>
    </row>
    <row r="39">
      <c r="B39" s="7" t="inlineStr">
        <is>
          <t>5. Ergebnis</t>
        </is>
      </c>
      <c r="C39" s="8" t="n"/>
      <c r="D39" s="8" t="n"/>
    </row>
    <row r="40">
      <c r="B40" s="14" t="inlineStr">
        <is>
          <t>Nötiger Jahresumsatz</t>
        </is>
      </c>
      <c r="C40" s="16">
        <f>C14+C26</f>
        <v/>
      </c>
    </row>
    <row r="42">
      <c r="B42" s="20" t="inlineStr">
        <is>
          <t>MINDEST-STUNDENSATZ (netto)</t>
        </is>
      </c>
      <c r="C42" s="21">
        <f>IF(C37&lt;=0,"",C40/C37)</f>
        <v/>
      </c>
      <c r="D42" s="22" t="inlineStr">
        <is>
          <t>Das ist die Untergrenze, nicht dein Wunschpreis. Darunter arbeitest du mit Verlust.</t>
        </is>
      </c>
    </row>
    <row r="44">
      <c r="B44" s="14" t="inlineStr">
        <is>
          <t>Tagessatz (8 Stunden)</t>
        </is>
      </c>
      <c r="C44" s="16">
        <f>C42*8</f>
        <v/>
      </c>
    </row>
    <row r="45">
      <c r="B45" s="14" t="inlineStr">
        <is>
          <t>Empfohlener Angebotssatz (+20 % Puffer)</t>
        </is>
      </c>
      <c r="C45" s="23">
        <f>C42*1.2</f>
        <v/>
      </c>
      <c r="D45" s="11" t="inlineStr">
        <is>
          <t>Der Mindestsatz lässt keinen Raum für Rabatte, Ausfälle oder Investitionen.</t>
        </is>
      </c>
    </row>
    <row r="47">
      <c r="B47" s="24" t="inlineStr">
        <is>
          <t>Näherungsrechnung, keine Steuerberatung. Steuersatz ist geschätzt.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16" customWidth="1" min="4" max="4"/>
    <col width="18" customWidth="1" min="5" max="5"/>
  </cols>
  <sheetData>
    <row r="2">
      <c r="B2" s="5" t="inlineStr">
        <is>
          <t>Einzelnes Projekt kalkulieren</t>
        </is>
      </c>
    </row>
    <row r="3">
      <c r="B3" s="6" t="inlineStr">
        <is>
          <t>Für Festpreis-Angebote. Der Stundensatz kommt automatisch aus dem Blatt „Kalkulation“.</t>
        </is>
      </c>
    </row>
    <row r="5">
      <c r="B5" s="25" t="inlineStr">
        <is>
          <t>Arbeitspaket</t>
        </is>
      </c>
      <c r="C5" s="25" t="inlineStr">
        <is>
          <t>Stunden</t>
        </is>
      </c>
      <c r="D5" s="25" t="inlineStr">
        <is>
          <t>Stundensatz</t>
        </is>
      </c>
      <c r="E5" s="25" t="inlineStr">
        <is>
          <t>Summe</t>
        </is>
      </c>
    </row>
    <row r="6">
      <c r="B6" s="26" t="inlineStr">
        <is>
          <t>Beispiel: Konzept und Abstimmung</t>
        </is>
      </c>
      <c r="C6" s="26" t="n">
        <v>8</v>
      </c>
      <c r="D6" s="27">
        <f>Kalkulation!$C$42</f>
        <v/>
      </c>
      <c r="E6" s="27">
        <f>IF(C6="","",C6*D6)</f>
        <v/>
      </c>
    </row>
    <row r="7">
      <c r="B7" s="26" t="n"/>
      <c r="C7" s="26" t="n"/>
      <c r="D7" s="27">
        <f>Kalkulation!$C$42</f>
        <v/>
      </c>
      <c r="E7" s="27">
        <f>IF(C7="","",C7*D7)</f>
        <v/>
      </c>
    </row>
    <row r="8">
      <c r="B8" s="26" t="n"/>
      <c r="C8" s="26" t="n"/>
      <c r="D8" s="27">
        <f>Kalkulation!$C$42</f>
        <v/>
      </c>
      <c r="E8" s="27">
        <f>IF(C8="","",C8*D8)</f>
        <v/>
      </c>
    </row>
    <row r="9">
      <c r="B9" s="26" t="n"/>
      <c r="C9" s="26" t="n"/>
      <c r="D9" s="27">
        <f>Kalkulation!$C$42</f>
        <v/>
      </c>
      <c r="E9" s="27">
        <f>IF(C9="","",C9*D9)</f>
        <v/>
      </c>
    </row>
    <row r="10">
      <c r="B10" s="26" t="n"/>
      <c r="C10" s="26" t="n"/>
      <c r="D10" s="27">
        <f>Kalkulation!$C$42</f>
        <v/>
      </c>
      <c r="E10" s="27">
        <f>IF(C10="","",C10*D10)</f>
        <v/>
      </c>
    </row>
    <row r="11">
      <c r="B11" s="26" t="n"/>
      <c r="C11" s="26" t="n"/>
      <c r="D11" s="27">
        <f>Kalkulation!$C$42</f>
        <v/>
      </c>
      <c r="E11" s="27">
        <f>IF(C11="","",C11*D11)</f>
        <v/>
      </c>
    </row>
    <row r="12">
      <c r="B12" s="26" t="n"/>
      <c r="C12" s="26" t="n"/>
      <c r="D12" s="27">
        <f>Kalkulation!$C$42</f>
        <v/>
      </c>
      <c r="E12" s="27">
        <f>IF(C12="","",C12*D12)</f>
        <v/>
      </c>
    </row>
    <row r="13">
      <c r="B13" s="26" t="n"/>
      <c r="C13" s="26" t="n"/>
      <c r="D13" s="27">
        <f>Kalkulation!$C$42</f>
        <v/>
      </c>
      <c r="E13" s="27">
        <f>IF(C13="","",C13*D13)</f>
        <v/>
      </c>
    </row>
    <row r="14">
      <c r="B14" s="26" t="n"/>
      <c r="C14" s="26" t="n"/>
      <c r="D14" s="27">
        <f>Kalkulation!$C$42</f>
        <v/>
      </c>
      <c r="E14" s="27">
        <f>IF(C14="","",C14*D14)</f>
        <v/>
      </c>
    </row>
    <row r="15">
      <c r="B15" s="26" t="n"/>
      <c r="C15" s="26" t="n"/>
      <c r="D15" s="27">
        <f>Kalkulation!$C$42</f>
        <v/>
      </c>
      <c r="E15" s="27">
        <f>IF(C15="","",C15*D15)</f>
        <v/>
      </c>
    </row>
    <row r="16">
      <c r="B16" s="26" t="n"/>
      <c r="C16" s="26" t="n"/>
      <c r="D16" s="27">
        <f>Kalkulation!$C$42</f>
        <v/>
      </c>
      <c r="E16" s="27">
        <f>IF(C16="","",C16*D16)</f>
        <v/>
      </c>
    </row>
    <row r="17">
      <c r="B17" s="26" t="n"/>
      <c r="C17" s="26" t="n"/>
      <c r="D17" s="27">
        <f>Kalkulation!$C$42</f>
        <v/>
      </c>
      <c r="E17" s="27">
        <f>IF(C17="","",C17*D17)</f>
        <v/>
      </c>
    </row>
    <row r="18">
      <c r="B18" s="26" t="n"/>
      <c r="C18" s="26" t="n"/>
      <c r="D18" s="27">
        <f>Kalkulation!$C$42</f>
        <v/>
      </c>
      <c r="E18" s="27">
        <f>IF(C18="","",C18*D18)</f>
        <v/>
      </c>
    </row>
    <row r="19">
      <c r="B19" s="26" t="n"/>
      <c r="C19" s="26" t="n"/>
      <c r="D19" s="27">
        <f>Kalkulation!$C$42</f>
        <v/>
      </c>
      <c r="E19" s="27">
        <f>IF(C19="","",C19*D19)</f>
        <v/>
      </c>
    </row>
    <row r="20">
      <c r="B20" s="26" t="n"/>
      <c r="C20" s="26" t="n"/>
      <c r="D20" s="27">
        <f>Kalkulation!$C$42</f>
        <v/>
      </c>
      <c r="E20" s="27">
        <f>IF(C20="","",C20*D20)</f>
        <v/>
      </c>
    </row>
    <row r="21">
      <c r="B21" s="26" t="n"/>
      <c r="C21" s="26" t="n"/>
      <c r="D21" s="27">
        <f>Kalkulation!$C$42</f>
        <v/>
      </c>
      <c r="E21" s="27">
        <f>IF(C21="","",C21*D21)</f>
        <v/>
      </c>
    </row>
    <row r="22">
      <c r="B22" s="26" t="n"/>
      <c r="C22" s="26" t="n"/>
      <c r="D22" s="27">
        <f>Kalkulation!$C$42</f>
        <v/>
      </c>
      <c r="E22" s="27">
        <f>IF(C22="","",C22*D22)</f>
        <v/>
      </c>
    </row>
    <row r="23">
      <c r="B23" s="26" t="n"/>
      <c r="C23" s="26" t="n"/>
      <c r="D23" s="27">
        <f>Kalkulation!$C$42</f>
        <v/>
      </c>
      <c r="E23" s="27">
        <f>IF(C23="","",C23*D23)</f>
        <v/>
      </c>
    </row>
    <row r="24">
      <c r="B24" s="26" t="n"/>
      <c r="C24" s="26" t="n"/>
      <c r="D24" s="27">
        <f>Kalkulation!$C$42</f>
        <v/>
      </c>
      <c r="E24" s="27">
        <f>IF(C24="","",C24*D24)</f>
        <v/>
      </c>
    </row>
    <row r="25">
      <c r="B25" s="26" t="n"/>
      <c r="C25" s="26" t="n"/>
      <c r="D25" s="27">
        <f>Kalkulation!$C$42</f>
        <v/>
      </c>
      <c r="E25" s="27">
        <f>IF(C25="","",C25*D25)</f>
        <v/>
      </c>
    </row>
    <row r="27">
      <c r="D27" s="28" t="inlineStr">
        <is>
          <t>Summe Arbeitszeit</t>
        </is>
      </c>
      <c r="E27" s="16">
        <f>SUM(E6:E25)</f>
        <v/>
      </c>
    </row>
    <row r="28">
      <c r="D28" s="2" t="inlineStr">
        <is>
          <t>Materialkosten</t>
        </is>
      </c>
      <c r="E28" s="10" t="n">
        <v>0</v>
      </c>
    </row>
    <row r="29">
      <c r="D29" s="2" t="inlineStr">
        <is>
          <t>Risikoaufschlag in %</t>
        </is>
      </c>
      <c r="E29" s="13" t="n">
        <v>0.15</v>
      </c>
    </row>
    <row r="30">
      <c r="D30" s="29" t="inlineStr">
        <is>
          <t>ANGEBOTSPREIS (netto)</t>
        </is>
      </c>
      <c r="E30" s="30">
        <f>(E27+E28)*(1+E29)</f>
        <v/>
      </c>
    </row>
    <row r="32">
      <c r="B32" s="31" t="inlineStr">
        <is>
          <t>Der Risikoaufschlag deckt ab, dass Projekte fast immer länger dauern als geschätzt.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2">
      <c r="B2" s="5" t="inlineStr">
        <is>
          <t>Was verschiedene Stundensätze bedeuten</t>
        </is>
      </c>
    </row>
    <row r="3">
      <c r="B3" s="6" t="inlineStr">
        <is>
          <t>Basis: deine verkaufbaren Stunden und Kosten aus dem Blatt „Kalkulation“.</t>
        </is>
      </c>
    </row>
    <row r="5">
      <c r="B5" s="32" t="inlineStr">
        <is>
          <t>Stundensatz</t>
        </is>
      </c>
      <c r="C5" s="33" t="n">
        <v>40</v>
      </c>
      <c r="D5" s="33" t="n">
        <v>60</v>
      </c>
      <c r="E5" s="33" t="n">
        <v>80</v>
      </c>
      <c r="F5" s="33" t="n">
        <v>100</v>
      </c>
      <c r="G5" s="33" t="n">
        <v>120</v>
      </c>
    </row>
    <row r="6">
      <c r="B6" s="34" t="inlineStr">
        <is>
          <t>Jahresumsatz</t>
        </is>
      </c>
      <c r="C6" s="35">
        <f>C$5*Kalkulation!$C$37</f>
        <v/>
      </c>
      <c r="D6" s="35">
        <f>D$5*Kalkulation!$C$37</f>
        <v/>
      </c>
      <c r="E6" s="35">
        <f>E$5*Kalkulation!$C$37</f>
        <v/>
      </c>
      <c r="F6" s="35">
        <f>F$5*Kalkulation!$C$37</f>
        <v/>
      </c>
      <c r="G6" s="35">
        <f>G$5*Kalkulation!$C$37</f>
        <v/>
      </c>
    </row>
    <row r="7">
      <c r="B7" s="34" t="inlineStr">
        <is>
          <t>minus Betriebskosten</t>
        </is>
      </c>
      <c r="C7" s="35">
        <f>-Kalkulation!$C$26</f>
        <v/>
      </c>
      <c r="D7" s="35">
        <f>-Kalkulation!$C$26</f>
        <v/>
      </c>
      <c r="E7" s="35">
        <f>-Kalkulation!$C$26</f>
        <v/>
      </c>
      <c r="F7" s="35">
        <f>-Kalkulation!$C$26</f>
        <v/>
      </c>
      <c r="G7" s="35">
        <f>-Kalkulation!$C$26</f>
        <v/>
      </c>
    </row>
    <row r="8">
      <c r="B8" s="34" t="inlineStr">
        <is>
          <t>Gewinn vor Steuern</t>
        </is>
      </c>
      <c r="C8" s="35">
        <f>C6+C7</f>
        <v/>
      </c>
      <c r="D8" s="35">
        <f>D6+D7</f>
        <v/>
      </c>
      <c r="E8" s="35">
        <f>E6+E7</f>
        <v/>
      </c>
      <c r="F8" s="35">
        <f>F6+F7</f>
        <v/>
      </c>
      <c r="G8" s="35">
        <f>G6+G7</f>
        <v/>
      </c>
    </row>
    <row r="9">
      <c r="B9" s="34" t="inlineStr">
        <is>
          <t>minus Steuern (geschätzt)</t>
        </is>
      </c>
      <c r="C9" s="35">
        <f>-MAX(0,C8)*Kalkulation!$C$10</f>
        <v/>
      </c>
      <c r="D9" s="35">
        <f>-MAX(0,D8)*Kalkulation!$C$10</f>
        <v/>
      </c>
      <c r="E9" s="35">
        <f>-MAX(0,E8)*Kalkulation!$C$10</f>
        <v/>
      </c>
      <c r="F9" s="35">
        <f>-MAX(0,F8)*Kalkulation!$C$10</f>
        <v/>
      </c>
      <c r="G9" s="35">
        <f>-MAX(0,G8)*Kalkulation!$C$10</f>
        <v/>
      </c>
    </row>
    <row r="10">
      <c r="B10" s="34" t="inlineStr">
        <is>
          <t>minus Vorsorge</t>
        </is>
      </c>
      <c r="C10" s="35">
        <f>-Kalkulation!$C$13</f>
        <v/>
      </c>
      <c r="D10" s="35">
        <f>-Kalkulation!$C$13</f>
        <v/>
      </c>
      <c r="E10" s="35">
        <f>-Kalkulation!$C$13</f>
        <v/>
      </c>
      <c r="F10" s="35">
        <f>-Kalkulation!$C$13</f>
        <v/>
      </c>
      <c r="G10" s="35">
        <f>-Kalkulation!$C$13</f>
        <v/>
      </c>
    </row>
    <row r="11">
      <c r="B11" s="36" t="inlineStr">
        <is>
          <t>Netto pro Jahr</t>
        </is>
      </c>
      <c r="C11" s="37">
        <f>C8+C9+C10</f>
        <v/>
      </c>
      <c r="D11" s="37">
        <f>D8+D9+D10</f>
        <v/>
      </c>
      <c r="E11" s="37">
        <f>E8+E9+E10</f>
        <v/>
      </c>
      <c r="F11" s="37">
        <f>F8+F9+F10</f>
        <v/>
      </c>
      <c r="G11" s="37">
        <f>G8+G9+G10</f>
        <v/>
      </c>
    </row>
    <row r="12">
      <c r="B12" s="36" t="inlineStr">
        <is>
          <t>Netto pro Monat</t>
        </is>
      </c>
      <c r="C12" s="38">
        <f>C11/12</f>
        <v/>
      </c>
      <c r="D12" s="38">
        <f>D11/12</f>
        <v/>
      </c>
      <c r="E12" s="38">
        <f>E11/12</f>
        <v/>
      </c>
      <c r="F12" s="38">
        <f>F11/12</f>
        <v/>
      </c>
      <c r="G12" s="38">
        <f>G11/12</f>
        <v/>
      </c>
    </row>
    <row r="14">
      <c r="B14" s="39" t="inlineStr">
        <is>
          <t>Rote Werte bedeuten: Bei diesem Stundensatz machst du Verlust.</t>
        </is>
      </c>
    </row>
    <row r="15">
      <c r="B15" s="31" t="inlineStr">
        <is>
          <t>Näherungsrechnung mit geschätztem Steuersatz — keine Steuerberatung.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2026-08-05T11:28:40Z</dcterms:created>
  <dcterms:modified xsi:type="dcterms:W3CDTF">2026-08-05T11:28:40Z</dcterms:modified>
</cp:coreProperties>
</file>