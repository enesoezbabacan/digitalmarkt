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leitung" sheetId="1" state="visible" r:id="rId1"/>
    <sheet name="Automaten" sheetId="2" state="visible" r:id="rId2"/>
    <sheet name="Befüllprotokoll" sheetId="3" state="visible" r:id="rId3"/>
    <sheet name="Kassenabrechnung" sheetId="4" state="visible" r:id="rId4"/>
    <sheet name="Auswertung" sheetId="5" state="visible" r:id="rId5"/>
  </sheets>
  <definedNames/>
  <calcPr calcId="124519" fullCalcOnLoad="1"/>
</workbook>
</file>

<file path=xl/styles.xml><?xml version="1.0" encoding="utf-8"?>
<styleSheet xmlns="http://schemas.openxmlformats.org/spreadsheetml/2006/main">
  <numFmts count="4">
    <numFmt numFmtId="164" formatCode="#,##0;[Red]-#,##0;&quot;–&quot;"/>
    <numFmt numFmtId="165" formatCode="yyyy-mm-dd"/>
    <numFmt numFmtId="166" formatCode="TT.MM.JJJJ"/>
    <numFmt numFmtId="167" formatCode="#,##0.00 &quot;€&quot;;[Red]-#,##0.00 &quot;€&quot;;&quot;–&quot;"/>
  </numFmts>
  <fonts count="16">
    <font>
      <name val="Calibri"/>
      <family val="2"/>
      <color theme="1"/>
      <sz val="11"/>
      <scheme val="minor"/>
    </font>
    <font>
      <name val="Arial"/>
      <b val="1"/>
      <color rgb="001F3864"/>
      <sz val="18"/>
    </font>
    <font>
      <name val="Arial"/>
      <b val="1"/>
      <color rgb="00000000"/>
      <sz val="12"/>
    </font>
    <font>
      <name val="Arial"/>
      <color rgb="00000000"/>
      <sz val="10"/>
    </font>
    <font>
      <name val="Arial"/>
      <b val="1"/>
      <color rgb="001F3864"/>
      <sz val="11"/>
    </font>
    <font>
      <name val="Arial"/>
      <color rgb="00808080"/>
      <sz val="9"/>
    </font>
    <font>
      <name val="Arial"/>
      <b val="1"/>
      <color rgb="001F3864"/>
      <sz val="16"/>
    </font>
    <font>
      <name val="Arial"/>
      <color rgb="00595959"/>
      <sz val="10"/>
    </font>
    <font>
      <name val="Arial"/>
      <b val="1"/>
      <color rgb="00FFFFFF"/>
      <sz val="10"/>
    </font>
    <font>
      <name val="Arial"/>
      <color rgb="000000FF"/>
      <sz val="10"/>
    </font>
    <font>
      <name val="Arial"/>
      <sz val="10"/>
    </font>
    <font>
      <name val="Arial"/>
      <color rgb="00595959"/>
      <sz val="9"/>
    </font>
    <font>
      <name val="Arial"/>
      <color rgb="00C00000"/>
      <sz val="9"/>
    </font>
    <font>
      <name val="Arial"/>
      <b val="1"/>
      <sz val="10"/>
    </font>
    <font>
      <name val="Arial"/>
      <b val="1"/>
      <sz val="12"/>
    </font>
    <font>
      <name val="Arial"/>
      <b val="1"/>
      <sz val="11"/>
    </font>
  </fonts>
  <fills count="5">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2" borderId="1" applyAlignment="1" pivotButton="0" quotePrefix="0" xfId="0">
      <alignment horizontal="center" vertical="center" wrapText="1"/>
    </xf>
    <xf numFmtId="0" fontId="9" fillId="3" borderId="1" pivotButton="0" quotePrefix="0" xfId="0"/>
    <xf numFmtId="164" fontId="9" fillId="3" borderId="1" pivotButton="0" quotePrefix="0" xfId="0"/>
    <xf numFmtId="166" fontId="9" fillId="3" borderId="1" pivotButton="0" quotePrefix="0" xfId="0"/>
    <xf numFmtId="166" fontId="10" fillId="0" borderId="1" pivotButton="0" quotePrefix="0" xfId="0"/>
    <xf numFmtId="164" fontId="10" fillId="0" borderId="1" pivotButton="0" quotePrefix="0" xfId="0"/>
    <xf numFmtId="0" fontId="10" fillId="0" borderId="1" pivotButton="0" quotePrefix="0" xfId="0"/>
    <xf numFmtId="0" fontId="11" fillId="0" borderId="0" applyAlignment="1" pivotButton="0" quotePrefix="0" xfId="0">
      <alignment vertical="top" wrapText="1"/>
    </xf>
    <xf numFmtId="167" fontId="9" fillId="3" borderId="1" pivotButton="0" quotePrefix="0" xfId="0"/>
    <xf numFmtId="167" fontId="10" fillId="0" borderId="1" pivotButton="0" quotePrefix="0" xfId="0"/>
    <xf numFmtId="0" fontId="12" fillId="0" borderId="0" applyAlignment="1" pivotButton="0" quotePrefix="0" xfId="0">
      <alignment vertical="top" wrapText="1"/>
    </xf>
    <xf numFmtId="167" fontId="13" fillId="4" borderId="1" pivotButton="0" quotePrefix="0" xfId="0"/>
    <xf numFmtId="0" fontId="14" fillId="0" borderId="0" pivotButton="0" quotePrefix="0" xfId="0"/>
    <xf numFmtId="0" fontId="15" fillId="0" borderId="0" pivotButton="0" quotePrefix="0" xfId="0"/>
    <xf numFmtId="167" fontId="13" fillId="0" borderId="1" pivotButton="0" quotePrefix="0" xfId="0"/>
    <xf numFmtId="0" fontId="11" fillId="0" borderId="0" pivotButton="0" quotePrefix="0" xfId="0"/>
  </cellXfs>
  <cellStyles count="1">
    <cellStyle name="Normal" xfId="0" builtinId="0" hidden="0"/>
  </cellStyles>
  <dxfs count="2">
    <dxf>
      <font>
        <b val="1"/>
        <color rgb="00C00000"/>
      </font>
      <fill>
        <patternFill patternType="solid">
          <bgColor rgb="00FCE4E4"/>
        </patternFill>
      </fill>
    </dxf>
    <dxf>
      <fill>
        <patternFill patternType="solid">
          <b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8"/>
  <sheetViews>
    <sheetView showGridLines="0" workbookViewId="0">
      <selection activeCell="A1" sqref="A1"/>
    </sheetView>
  </sheetViews>
  <sheetFormatPr baseColWidth="8" defaultRowHeight="15"/>
  <cols>
    <col width="2" customWidth="1" min="1" max="1"/>
    <col width="96" customWidth="1" min="2" max="2"/>
  </cols>
  <sheetData>
    <row r="2">
      <c r="B2" s="1" t="inlineStr">
        <is>
          <t>Wartungs- und Befüllungsplaner</t>
        </is>
      </c>
    </row>
    <row r="4">
      <c r="B4" s="2" t="inlineStr">
        <is>
          <t>Der Überblick über deine Automaten — wer ist dran, was läuft, was bleibt liegen.</t>
        </is>
      </c>
    </row>
    <row r="6">
      <c r="B6" s="3" t="inlineStr">
        <is>
          <t>Mit einem Automaten hat man alles im Kopf. Ab dem dritten nicht mehr. Diese Datei hält fest, wann welcher Automat gewartet werden muss, welcher Artikel an welchem Standort läuft und was am Ende wirklich in der Kasse ankommt.</t>
        </is>
      </c>
    </row>
    <row r="8">
      <c r="B8" s="4" t="inlineStr">
        <is>
          <t>DIE VIER BLÄTTER</t>
        </is>
      </c>
    </row>
    <row r="10">
      <c r="B10" s="3" t="inlineStr">
        <is>
          <t>•  „Automaten“  —  deine Geräte mit Standort, Wartungsintervall und Fälligkeit. Einmal anlegen, dann nur noch das Wartungsdatum aktualisieren.</t>
        </is>
      </c>
    </row>
    <row r="11">
      <c r="B11" s="3" t="inlineStr">
        <is>
          <t>•  „Befüllprotokoll“  —  jede Befüllung eine Zeile. Datum, Automat, Artikel, Stückzahl.</t>
        </is>
      </c>
    </row>
    <row r="12">
      <c r="B12" s="3" t="inlineStr">
        <is>
          <t>•  „Kassenabrechnung“  —  was du bei jeder Leerung entnommen hast, gegen den Wareneinsatz.</t>
        </is>
      </c>
    </row>
    <row r="13">
      <c r="B13" s="3" t="inlineStr">
        <is>
          <t>•  „Auswertung“  —  rechnet aus, welcher Artikel wo läuft und welcher totes Kapital ist.</t>
        </is>
      </c>
    </row>
    <row r="15">
      <c r="B15" s="4" t="inlineStr">
        <is>
          <t>SO FÄNGST DU AN</t>
        </is>
      </c>
    </row>
    <row r="17">
      <c r="B17" s="3" t="inlineStr">
        <is>
          <t>1.  Blatt „Automaten“ — trag deine Geräte ein. Die Automaten-Nummer vergibst du selbst, z. B. A1, A2, A3. Sie verbindet alle anderen Blätter.</t>
        </is>
      </c>
    </row>
    <row r="18">
      <c r="B18" s="3" t="inlineStr">
        <is>
          <t>2.  Nach jeder Tour: im Befüllprotokoll eine Zeile je Artikel, den du nachgefüllt hast.</t>
        </is>
      </c>
    </row>
    <row r="19">
      <c r="B19" s="3" t="inlineStr">
        <is>
          <t>3.  Bei jeder Leerung: eine Zeile in der Kassenabrechnung.</t>
        </is>
      </c>
    </row>
    <row r="20">
      <c r="B20" s="3" t="inlineStr">
        <is>
          <t>4.  Einmal im Monat: Blatt „Auswertung“ ansehen und Ladenhüter austauschen.</t>
        </is>
      </c>
    </row>
    <row r="22">
      <c r="B22" s="4" t="inlineStr">
        <is>
          <t>DIE FARBEN</t>
        </is>
      </c>
    </row>
    <row r="24">
      <c r="B24" s="3" t="inlineStr">
        <is>
          <t>Gelb hinterlegt mit blauer Schrift  =  hier trägst du ein.</t>
        </is>
      </c>
    </row>
    <row r="25">
      <c r="B25" s="3" t="inlineStr">
        <is>
          <t>Weiß mit schwarzer Schrift  =  rechnet die Datei aus. Nicht überschreiben, sonst ist die Formel weg.</t>
        </is>
      </c>
    </row>
    <row r="26">
      <c r="B26" s="3" t="inlineStr">
        <is>
          <t>Rot hinterlegt  =  Handlungsbedarf.</t>
        </is>
      </c>
    </row>
    <row r="28">
      <c r="B28" s="4" t="inlineStr">
        <is>
          <t>WARUM DAS BEFÜLLPROTOKOLL DIE MÜHE WERT IST</t>
        </is>
      </c>
    </row>
    <row r="30">
      <c r="B30" s="3" t="inlineStr">
        <is>
          <t>In fast jedem Automaten stehen zwei bis drei Artikel, die kaum jemand kauft. Sie binden dein Geld, laufen irgendwann ab und belegen einen Schacht, der verdienen könnte. Ohne Aufzeichnung merkt man das nicht — man sieht ja nur, was fehlt, nicht was steht.</t>
        </is>
      </c>
    </row>
    <row r="31">
      <c r="B31" s="3" t="inlineStr">
        <is>
          <t>Die Auswertung zeigt dir je Artikel und je Standort, wie viel Stück im Zeitraum weggegangen sind. Was unter deiner selbst gesetzten Grenze liegt, wird als Ladenhüter markiert.</t>
        </is>
      </c>
    </row>
    <row r="33">
      <c r="B33" s="4" t="inlineStr">
        <is>
          <t>ZU DEN WARTUNGSFRISTEN</t>
        </is>
      </c>
    </row>
    <row r="35">
      <c r="B35" s="3" t="inlineStr">
        <is>
          <t>Die Fälligkeit wird als Richtwert über Tage gerechnet (Intervall in Monaten × 30). Das ist bewusst einfach gehalten, damit die Datei in jedem Tabellenprogramm gleich funktioniert. Für die Tourenplanung reicht das — maßgeblich bleiben die Vorgaben des Herstellers und, bei Kühlgeräten, die Hygieneanforderungen.</t>
        </is>
      </c>
    </row>
    <row r="38">
      <c r="B38" s="5" t="inlineStr">
        <is>
          <t>Arbeitshilfe, keine Rechts- oder Steuerberatung. Stand: August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K37"/>
  <sheetViews>
    <sheetView showGridLines="0" workbookViewId="0">
      <selection activeCell="A1" sqref="A1"/>
    </sheetView>
  </sheetViews>
  <sheetFormatPr baseColWidth="8" defaultRowHeight="15"/>
  <cols>
    <col width="2" customWidth="1" min="1" max="1"/>
    <col width="8" customWidth="1" min="2" max="2"/>
    <col width="30" customWidth="1" min="3" max="3"/>
    <col width="22" customWidth="1" min="4" max="4"/>
    <col width="10" customWidth="1" min="5" max="5"/>
    <col width="15" customWidth="1" min="6" max="6"/>
    <col width="13" customWidth="1" min="7" max="7"/>
    <col width="15" customWidth="1" min="8" max="8"/>
    <col width="17" customWidth="1" min="9" max="9"/>
    <col width="13" customWidth="1" min="10" max="10"/>
    <col width="16" customWidth="1" min="11" max="11"/>
  </cols>
  <sheetData>
    <row r="2">
      <c r="B2" s="6" t="inlineStr">
        <is>
          <t>Deine Automaten</t>
        </is>
      </c>
    </row>
    <row r="3">
      <c r="B3" s="7" t="inlineStr">
        <is>
          <t>Einmal anlegen. Nach jeder Wartung nur das Datum in Spalte G aktualisieren.</t>
        </is>
      </c>
    </row>
    <row r="5" ht="30" customHeight="1">
      <c r="B5" s="8" t="inlineStr">
        <is>
          <t>Nr.</t>
        </is>
      </c>
      <c r="C5" s="8" t="inlineStr">
        <is>
          <t>Standort</t>
        </is>
      </c>
      <c r="D5" s="8" t="inlineStr">
        <is>
          <t>Modell</t>
        </is>
      </c>
      <c r="E5" s="8" t="inlineStr">
        <is>
          <t>Schächte</t>
        </is>
      </c>
      <c r="F5" s="8" t="inlineStr">
        <is>
          <t>Aufgestellt am</t>
        </is>
      </c>
      <c r="G5" s="8" t="inlineStr">
        <is>
          <t>Wartung alle (Monate)</t>
        </is>
      </c>
      <c r="H5" s="8" t="inlineStr">
        <is>
          <t>Letzte Wartung</t>
        </is>
      </c>
      <c r="I5" s="8" t="inlineStr">
        <is>
          <t>Nächste Wartung (Richtwert)</t>
        </is>
      </c>
      <c r="J5" s="8" t="inlineStr">
        <is>
          <t>Tage bis fällig</t>
        </is>
      </c>
      <c r="K5" s="8" t="inlineStr">
        <is>
          <t>Status</t>
        </is>
      </c>
    </row>
    <row r="6">
      <c r="B6" s="9" t="inlineStr">
        <is>
          <t>A1</t>
        </is>
      </c>
      <c r="C6" s="9" t="inlineStr">
        <is>
          <t>Firma Müller, Halle 2</t>
        </is>
      </c>
      <c r="D6" s="9" t="inlineStr">
        <is>
          <t>Sielaff SM 6</t>
        </is>
      </c>
      <c r="E6" s="10" t="n">
        <v>42</v>
      </c>
      <c r="F6" s="11" t="n">
        <v>46082</v>
      </c>
      <c r="G6" s="10" t="n">
        <v>6</v>
      </c>
      <c r="H6" s="11" t="n">
        <v>46082</v>
      </c>
      <c r="I6" s="12">
        <f>IF(OR(H6="",G6=""),"",H6+G6*30)</f>
        <v/>
      </c>
      <c r="J6" s="13">
        <f>IF(I6="","",I6-TODAY())</f>
        <v/>
      </c>
      <c r="K6" s="14">
        <f>IF(J6="","",IF(J6&lt;0,"überfällig",IF(J6&lt;14,"bald fällig","in Ordnung")))</f>
        <v/>
      </c>
    </row>
    <row r="7">
      <c r="B7" s="9" t="inlineStr">
        <is>
          <t>A2</t>
        </is>
      </c>
      <c r="C7" s="9" t="inlineStr">
        <is>
          <t>Waschsalon Bahnhofstr.</t>
        </is>
      </c>
      <c r="D7" s="9" t="inlineStr">
        <is>
          <t>Vendo V21</t>
        </is>
      </c>
      <c r="E7" s="10" t="n">
        <v>30</v>
      </c>
      <c r="F7" s="11" t="n">
        <v>46127</v>
      </c>
      <c r="G7" s="10" t="n">
        <v>6</v>
      </c>
      <c r="H7" s="11" t="n">
        <v>46127</v>
      </c>
      <c r="I7" s="12">
        <f>IF(OR(H7="",G7=""),"",H7+G7*30)</f>
        <v/>
      </c>
      <c r="J7" s="13">
        <f>IF(I7="","",I7-TODAY())</f>
        <v/>
      </c>
      <c r="K7" s="14">
        <f>IF(J7="","",IF(J7&lt;0,"überfällig",IF(J7&lt;14,"bald fällig","in Ordnung")))</f>
        <v/>
      </c>
    </row>
    <row r="8">
      <c r="B8" s="9" t="inlineStr">
        <is>
          <t>A3</t>
        </is>
      </c>
      <c r="C8" s="9" t="inlineStr">
        <is>
          <t>Autohaus Weber, Wartebereich</t>
        </is>
      </c>
      <c r="D8" s="9" t="inlineStr">
        <is>
          <t>Sielaff FS 3</t>
        </is>
      </c>
      <c r="E8" s="10" t="n">
        <v>36</v>
      </c>
      <c r="F8" s="11" t="n">
        <v>46175</v>
      </c>
      <c r="G8" s="10" t="n">
        <v>12</v>
      </c>
      <c r="H8" s="11" t="n">
        <v>46175</v>
      </c>
      <c r="I8" s="12">
        <f>IF(OR(H8="",G8=""),"",H8+G8*30)</f>
        <v/>
      </c>
      <c r="J8" s="13">
        <f>IF(I8="","",I8-TODAY())</f>
        <v/>
      </c>
      <c r="K8" s="14">
        <f>IF(J8="","",IF(J8&lt;0,"überfällig",IF(J8&lt;14,"bald fällig","in Ordnung")))</f>
        <v/>
      </c>
    </row>
    <row r="9">
      <c r="B9" s="9" t="n"/>
      <c r="C9" s="9" t="n"/>
      <c r="D9" s="9" t="n"/>
      <c r="E9" s="10" t="n"/>
      <c r="F9" s="11" t="n"/>
      <c r="G9" s="10" t="n"/>
      <c r="H9" s="11" t="n"/>
      <c r="I9" s="12">
        <f>IF(OR(H9="",G9=""),"",H9+G9*30)</f>
        <v/>
      </c>
      <c r="J9" s="13">
        <f>IF(I9="","",I9-TODAY())</f>
        <v/>
      </c>
      <c r="K9" s="14">
        <f>IF(J9="","",IF(J9&lt;0,"überfällig",IF(J9&lt;14,"bald fällig","in Ordnung")))</f>
        <v/>
      </c>
    </row>
    <row r="10">
      <c r="B10" s="9" t="n"/>
      <c r="C10" s="9" t="n"/>
      <c r="D10" s="9" t="n"/>
      <c r="E10" s="10" t="n"/>
      <c r="F10" s="11" t="n"/>
      <c r="G10" s="10" t="n"/>
      <c r="H10" s="11" t="n"/>
      <c r="I10" s="12">
        <f>IF(OR(H10="",G10=""),"",H10+G10*30)</f>
        <v/>
      </c>
      <c r="J10" s="13">
        <f>IF(I10="","",I10-TODAY())</f>
        <v/>
      </c>
      <c r="K10" s="14">
        <f>IF(J10="","",IF(J10&lt;0,"überfällig",IF(J10&lt;14,"bald fällig","in Ordnung")))</f>
        <v/>
      </c>
    </row>
    <row r="11">
      <c r="B11" s="9" t="n"/>
      <c r="C11" s="9" t="n"/>
      <c r="D11" s="9" t="n"/>
      <c r="E11" s="10" t="n"/>
      <c r="F11" s="11" t="n"/>
      <c r="G11" s="10" t="n"/>
      <c r="H11" s="11" t="n"/>
      <c r="I11" s="12">
        <f>IF(OR(H11="",G11=""),"",H11+G11*30)</f>
        <v/>
      </c>
      <c r="J11" s="13">
        <f>IF(I11="","",I11-TODAY())</f>
        <v/>
      </c>
      <c r="K11" s="14">
        <f>IF(J11="","",IF(J11&lt;0,"überfällig",IF(J11&lt;14,"bald fällig","in Ordnung")))</f>
        <v/>
      </c>
    </row>
    <row r="12">
      <c r="B12" s="9" t="n"/>
      <c r="C12" s="9" t="n"/>
      <c r="D12" s="9" t="n"/>
      <c r="E12" s="10" t="n"/>
      <c r="F12" s="11" t="n"/>
      <c r="G12" s="10" t="n"/>
      <c r="H12" s="11" t="n"/>
      <c r="I12" s="12">
        <f>IF(OR(H12="",G12=""),"",H12+G12*30)</f>
        <v/>
      </c>
      <c r="J12" s="13">
        <f>IF(I12="","",I12-TODAY())</f>
        <v/>
      </c>
      <c r="K12" s="14">
        <f>IF(J12="","",IF(J12&lt;0,"überfällig",IF(J12&lt;14,"bald fällig","in Ordnung")))</f>
        <v/>
      </c>
    </row>
    <row r="13">
      <c r="B13" s="9" t="n"/>
      <c r="C13" s="9" t="n"/>
      <c r="D13" s="9" t="n"/>
      <c r="E13" s="10" t="n"/>
      <c r="F13" s="11" t="n"/>
      <c r="G13" s="10" t="n"/>
      <c r="H13" s="11" t="n"/>
      <c r="I13" s="12">
        <f>IF(OR(H13="",G13=""),"",H13+G13*30)</f>
        <v/>
      </c>
      <c r="J13" s="13">
        <f>IF(I13="","",I13-TODAY())</f>
        <v/>
      </c>
      <c r="K13" s="14">
        <f>IF(J13="","",IF(J13&lt;0,"überfällig",IF(J13&lt;14,"bald fällig","in Ordnung")))</f>
        <v/>
      </c>
    </row>
    <row r="14">
      <c r="B14" s="9" t="n"/>
      <c r="C14" s="9" t="n"/>
      <c r="D14" s="9" t="n"/>
      <c r="E14" s="10" t="n"/>
      <c r="F14" s="11" t="n"/>
      <c r="G14" s="10" t="n"/>
      <c r="H14" s="11" t="n"/>
      <c r="I14" s="12">
        <f>IF(OR(H14="",G14=""),"",H14+G14*30)</f>
        <v/>
      </c>
      <c r="J14" s="13">
        <f>IF(I14="","",I14-TODAY())</f>
        <v/>
      </c>
      <c r="K14" s="14">
        <f>IF(J14="","",IF(J14&lt;0,"überfällig",IF(J14&lt;14,"bald fällig","in Ordnung")))</f>
        <v/>
      </c>
    </row>
    <row r="15">
      <c r="B15" s="9" t="n"/>
      <c r="C15" s="9" t="n"/>
      <c r="D15" s="9" t="n"/>
      <c r="E15" s="10" t="n"/>
      <c r="F15" s="11" t="n"/>
      <c r="G15" s="10" t="n"/>
      <c r="H15" s="11" t="n"/>
      <c r="I15" s="12">
        <f>IF(OR(H15="",G15=""),"",H15+G15*30)</f>
        <v/>
      </c>
      <c r="J15" s="13">
        <f>IF(I15="","",I15-TODAY())</f>
        <v/>
      </c>
      <c r="K15" s="14">
        <f>IF(J15="","",IF(J15&lt;0,"überfällig",IF(J15&lt;14,"bald fällig","in Ordnung")))</f>
        <v/>
      </c>
    </row>
    <row r="16">
      <c r="B16" s="9" t="n"/>
      <c r="C16" s="9" t="n"/>
      <c r="D16" s="9" t="n"/>
      <c r="E16" s="10" t="n"/>
      <c r="F16" s="11" t="n"/>
      <c r="G16" s="10" t="n"/>
      <c r="H16" s="11" t="n"/>
      <c r="I16" s="12">
        <f>IF(OR(H16="",G16=""),"",H16+G16*30)</f>
        <v/>
      </c>
      <c r="J16" s="13">
        <f>IF(I16="","",I16-TODAY())</f>
        <v/>
      </c>
      <c r="K16" s="14">
        <f>IF(J16="","",IF(J16&lt;0,"überfällig",IF(J16&lt;14,"bald fällig","in Ordnung")))</f>
        <v/>
      </c>
    </row>
    <row r="17">
      <c r="B17" s="9" t="n"/>
      <c r="C17" s="9" t="n"/>
      <c r="D17" s="9" t="n"/>
      <c r="E17" s="10" t="n"/>
      <c r="F17" s="11" t="n"/>
      <c r="G17" s="10" t="n"/>
      <c r="H17" s="11" t="n"/>
      <c r="I17" s="12">
        <f>IF(OR(H17="",G17=""),"",H17+G17*30)</f>
        <v/>
      </c>
      <c r="J17" s="13">
        <f>IF(I17="","",I17-TODAY())</f>
        <v/>
      </c>
      <c r="K17" s="14">
        <f>IF(J17="","",IF(J17&lt;0,"überfällig",IF(J17&lt;14,"bald fällig","in Ordnung")))</f>
        <v/>
      </c>
    </row>
    <row r="18">
      <c r="B18" s="9" t="n"/>
      <c r="C18" s="9" t="n"/>
      <c r="D18" s="9" t="n"/>
      <c r="E18" s="10" t="n"/>
      <c r="F18" s="11" t="n"/>
      <c r="G18" s="10" t="n"/>
      <c r="H18" s="11" t="n"/>
      <c r="I18" s="12">
        <f>IF(OR(H18="",G18=""),"",H18+G18*30)</f>
        <v/>
      </c>
      <c r="J18" s="13">
        <f>IF(I18="","",I18-TODAY())</f>
        <v/>
      </c>
      <c r="K18" s="14">
        <f>IF(J18="","",IF(J18&lt;0,"überfällig",IF(J18&lt;14,"bald fällig","in Ordnung")))</f>
        <v/>
      </c>
    </row>
    <row r="19">
      <c r="B19" s="9" t="n"/>
      <c r="C19" s="9" t="n"/>
      <c r="D19" s="9" t="n"/>
      <c r="E19" s="10" t="n"/>
      <c r="F19" s="11" t="n"/>
      <c r="G19" s="10" t="n"/>
      <c r="H19" s="11" t="n"/>
      <c r="I19" s="12">
        <f>IF(OR(H19="",G19=""),"",H19+G19*30)</f>
        <v/>
      </c>
      <c r="J19" s="13">
        <f>IF(I19="","",I19-TODAY())</f>
        <v/>
      </c>
      <c r="K19" s="14">
        <f>IF(J19="","",IF(J19&lt;0,"überfällig",IF(J19&lt;14,"bald fällig","in Ordnung")))</f>
        <v/>
      </c>
    </row>
    <row r="20">
      <c r="B20" s="9" t="n"/>
      <c r="C20" s="9" t="n"/>
      <c r="D20" s="9" t="n"/>
      <c r="E20" s="10" t="n"/>
      <c r="F20" s="11" t="n"/>
      <c r="G20" s="10" t="n"/>
      <c r="H20" s="11" t="n"/>
      <c r="I20" s="12">
        <f>IF(OR(H20="",G20=""),"",H20+G20*30)</f>
        <v/>
      </c>
      <c r="J20" s="13">
        <f>IF(I20="","",I20-TODAY())</f>
        <v/>
      </c>
      <c r="K20" s="14">
        <f>IF(J20="","",IF(J20&lt;0,"überfällig",IF(J20&lt;14,"bald fällig","in Ordnung")))</f>
        <v/>
      </c>
    </row>
    <row r="21">
      <c r="B21" s="9" t="n"/>
      <c r="C21" s="9" t="n"/>
      <c r="D21" s="9" t="n"/>
      <c r="E21" s="10" t="n"/>
      <c r="F21" s="11" t="n"/>
      <c r="G21" s="10" t="n"/>
      <c r="H21" s="11" t="n"/>
      <c r="I21" s="12">
        <f>IF(OR(H21="",G21=""),"",H21+G21*30)</f>
        <v/>
      </c>
      <c r="J21" s="13">
        <f>IF(I21="","",I21-TODAY())</f>
        <v/>
      </c>
      <c r="K21" s="14">
        <f>IF(J21="","",IF(J21&lt;0,"überfällig",IF(J21&lt;14,"bald fällig","in Ordnung")))</f>
        <v/>
      </c>
    </row>
    <row r="22">
      <c r="B22" s="9" t="n"/>
      <c r="C22" s="9" t="n"/>
      <c r="D22" s="9" t="n"/>
      <c r="E22" s="10" t="n"/>
      <c r="F22" s="11" t="n"/>
      <c r="G22" s="10" t="n"/>
      <c r="H22" s="11" t="n"/>
      <c r="I22" s="12">
        <f>IF(OR(H22="",G22=""),"",H22+G22*30)</f>
        <v/>
      </c>
      <c r="J22" s="13">
        <f>IF(I22="","",I22-TODAY())</f>
        <v/>
      </c>
      <c r="K22" s="14">
        <f>IF(J22="","",IF(J22&lt;0,"überfällig",IF(J22&lt;14,"bald fällig","in Ordnung")))</f>
        <v/>
      </c>
    </row>
    <row r="23">
      <c r="B23" s="9" t="n"/>
      <c r="C23" s="9" t="n"/>
      <c r="D23" s="9" t="n"/>
      <c r="E23" s="10" t="n"/>
      <c r="F23" s="11" t="n"/>
      <c r="G23" s="10" t="n"/>
      <c r="H23" s="11" t="n"/>
      <c r="I23" s="12">
        <f>IF(OR(H23="",G23=""),"",H23+G23*30)</f>
        <v/>
      </c>
      <c r="J23" s="13">
        <f>IF(I23="","",I23-TODAY())</f>
        <v/>
      </c>
      <c r="K23" s="14">
        <f>IF(J23="","",IF(J23&lt;0,"überfällig",IF(J23&lt;14,"bald fällig","in Ordnung")))</f>
        <v/>
      </c>
    </row>
    <row r="24">
      <c r="B24" s="9" t="n"/>
      <c r="C24" s="9" t="n"/>
      <c r="D24" s="9" t="n"/>
      <c r="E24" s="10" t="n"/>
      <c r="F24" s="11" t="n"/>
      <c r="G24" s="10" t="n"/>
      <c r="H24" s="11" t="n"/>
      <c r="I24" s="12">
        <f>IF(OR(H24="",G24=""),"",H24+G24*30)</f>
        <v/>
      </c>
      <c r="J24" s="13">
        <f>IF(I24="","",I24-TODAY())</f>
        <v/>
      </c>
      <c r="K24" s="14">
        <f>IF(J24="","",IF(J24&lt;0,"überfällig",IF(J24&lt;14,"bald fällig","in Ordnung")))</f>
        <v/>
      </c>
    </row>
    <row r="25">
      <c r="B25" s="9" t="n"/>
      <c r="C25" s="9" t="n"/>
      <c r="D25" s="9" t="n"/>
      <c r="E25" s="10" t="n"/>
      <c r="F25" s="11" t="n"/>
      <c r="G25" s="10" t="n"/>
      <c r="H25" s="11" t="n"/>
      <c r="I25" s="12">
        <f>IF(OR(H25="",G25=""),"",H25+G25*30)</f>
        <v/>
      </c>
      <c r="J25" s="13">
        <f>IF(I25="","",I25-TODAY())</f>
        <v/>
      </c>
      <c r="K25" s="14">
        <f>IF(J25="","",IF(J25&lt;0,"überfällig",IF(J25&lt;14,"bald fällig","in Ordnung")))</f>
        <v/>
      </c>
    </row>
    <row r="26">
      <c r="B26" s="9" t="n"/>
      <c r="C26" s="9" t="n"/>
      <c r="D26" s="9" t="n"/>
      <c r="E26" s="10" t="n"/>
      <c r="F26" s="11" t="n"/>
      <c r="G26" s="10" t="n"/>
      <c r="H26" s="11" t="n"/>
      <c r="I26" s="12">
        <f>IF(OR(H26="",G26=""),"",H26+G26*30)</f>
        <v/>
      </c>
      <c r="J26" s="13">
        <f>IF(I26="","",I26-TODAY())</f>
        <v/>
      </c>
      <c r="K26" s="14">
        <f>IF(J26="","",IF(J26&lt;0,"überfällig",IF(J26&lt;14,"bald fällig","in Ordnung")))</f>
        <v/>
      </c>
    </row>
    <row r="27">
      <c r="B27" s="9" t="n"/>
      <c r="C27" s="9" t="n"/>
      <c r="D27" s="9" t="n"/>
      <c r="E27" s="10" t="n"/>
      <c r="F27" s="11" t="n"/>
      <c r="G27" s="10" t="n"/>
      <c r="H27" s="11" t="n"/>
      <c r="I27" s="12">
        <f>IF(OR(H27="",G27=""),"",H27+G27*30)</f>
        <v/>
      </c>
      <c r="J27" s="13">
        <f>IF(I27="","",I27-TODAY())</f>
        <v/>
      </c>
      <c r="K27" s="14">
        <f>IF(J27="","",IF(J27&lt;0,"überfällig",IF(J27&lt;14,"bald fällig","in Ordnung")))</f>
        <v/>
      </c>
    </row>
    <row r="28">
      <c r="B28" s="9" t="n"/>
      <c r="C28" s="9" t="n"/>
      <c r="D28" s="9" t="n"/>
      <c r="E28" s="10" t="n"/>
      <c r="F28" s="11" t="n"/>
      <c r="G28" s="10" t="n"/>
      <c r="H28" s="11" t="n"/>
      <c r="I28" s="12">
        <f>IF(OR(H28="",G28=""),"",H28+G28*30)</f>
        <v/>
      </c>
      <c r="J28" s="13">
        <f>IF(I28="","",I28-TODAY())</f>
        <v/>
      </c>
      <c r="K28" s="14">
        <f>IF(J28="","",IF(J28&lt;0,"überfällig",IF(J28&lt;14,"bald fällig","in Ordnung")))</f>
        <v/>
      </c>
    </row>
    <row r="29">
      <c r="B29" s="9" t="n"/>
      <c r="C29" s="9" t="n"/>
      <c r="D29" s="9" t="n"/>
      <c r="E29" s="10" t="n"/>
      <c r="F29" s="11" t="n"/>
      <c r="G29" s="10" t="n"/>
      <c r="H29" s="11" t="n"/>
      <c r="I29" s="12">
        <f>IF(OR(H29="",G29=""),"",H29+G29*30)</f>
        <v/>
      </c>
      <c r="J29" s="13">
        <f>IF(I29="","",I29-TODAY())</f>
        <v/>
      </c>
      <c r="K29" s="14">
        <f>IF(J29="","",IF(J29&lt;0,"überfällig",IF(J29&lt;14,"bald fällig","in Ordnung")))</f>
        <v/>
      </c>
    </row>
    <row r="30">
      <c r="B30" s="9" t="n"/>
      <c r="C30" s="9" t="n"/>
      <c r="D30" s="9" t="n"/>
      <c r="E30" s="10" t="n"/>
      <c r="F30" s="11" t="n"/>
      <c r="G30" s="10" t="n"/>
      <c r="H30" s="11" t="n"/>
      <c r="I30" s="12">
        <f>IF(OR(H30="",G30=""),"",H30+G30*30)</f>
        <v/>
      </c>
      <c r="J30" s="13">
        <f>IF(I30="","",I30-TODAY())</f>
        <v/>
      </c>
      <c r="K30" s="14">
        <f>IF(J30="","",IF(J30&lt;0,"überfällig",IF(J30&lt;14,"bald fällig","in Ordnung")))</f>
        <v/>
      </c>
    </row>
    <row r="31">
      <c r="B31" s="9" t="n"/>
      <c r="C31" s="9" t="n"/>
      <c r="D31" s="9" t="n"/>
      <c r="E31" s="10" t="n"/>
      <c r="F31" s="11" t="n"/>
      <c r="G31" s="10" t="n"/>
      <c r="H31" s="11" t="n"/>
      <c r="I31" s="12">
        <f>IF(OR(H31="",G31=""),"",H31+G31*30)</f>
        <v/>
      </c>
      <c r="J31" s="13">
        <f>IF(I31="","",I31-TODAY())</f>
        <v/>
      </c>
      <c r="K31" s="14">
        <f>IF(J31="","",IF(J31&lt;0,"überfällig",IF(J31&lt;14,"bald fällig","in Ordnung")))</f>
        <v/>
      </c>
    </row>
    <row r="32">
      <c r="B32" s="9" t="n"/>
      <c r="C32" s="9" t="n"/>
      <c r="D32" s="9" t="n"/>
      <c r="E32" s="10" t="n"/>
      <c r="F32" s="11" t="n"/>
      <c r="G32" s="10" t="n"/>
      <c r="H32" s="11" t="n"/>
      <c r="I32" s="12">
        <f>IF(OR(H32="",G32=""),"",H32+G32*30)</f>
        <v/>
      </c>
      <c r="J32" s="13">
        <f>IF(I32="","",I32-TODAY())</f>
        <v/>
      </c>
      <c r="K32" s="14">
        <f>IF(J32="","",IF(J32&lt;0,"überfällig",IF(J32&lt;14,"bald fällig","in Ordnung")))</f>
        <v/>
      </c>
    </row>
    <row r="33">
      <c r="B33" s="9" t="n"/>
      <c r="C33" s="9" t="n"/>
      <c r="D33" s="9" t="n"/>
      <c r="E33" s="10" t="n"/>
      <c r="F33" s="11" t="n"/>
      <c r="G33" s="10" t="n"/>
      <c r="H33" s="11" t="n"/>
      <c r="I33" s="12">
        <f>IF(OR(H33="",G33=""),"",H33+G33*30)</f>
        <v/>
      </c>
      <c r="J33" s="13">
        <f>IF(I33="","",I33-TODAY())</f>
        <v/>
      </c>
      <c r="K33" s="14">
        <f>IF(J33="","",IF(J33&lt;0,"überfällig",IF(J33&lt;14,"bald fällig","in Ordnung")))</f>
        <v/>
      </c>
    </row>
    <row r="34">
      <c r="B34" s="9" t="n"/>
      <c r="C34" s="9" t="n"/>
      <c r="D34" s="9" t="n"/>
      <c r="E34" s="10" t="n"/>
      <c r="F34" s="11" t="n"/>
      <c r="G34" s="10" t="n"/>
      <c r="H34" s="11" t="n"/>
      <c r="I34" s="12">
        <f>IF(OR(H34="",G34=""),"",H34+G34*30)</f>
        <v/>
      </c>
      <c r="J34" s="13">
        <f>IF(I34="","",I34-TODAY())</f>
        <v/>
      </c>
      <c r="K34" s="14">
        <f>IF(J34="","",IF(J34&lt;0,"überfällig",IF(J34&lt;14,"bald fällig","in Ordnung")))</f>
        <v/>
      </c>
    </row>
    <row r="35">
      <c r="B35" s="9" t="n"/>
      <c r="C35" s="9" t="n"/>
      <c r="D35" s="9" t="n"/>
      <c r="E35" s="10" t="n"/>
      <c r="F35" s="11" t="n"/>
      <c r="G35" s="10" t="n"/>
      <c r="H35" s="11" t="n"/>
      <c r="I35" s="12">
        <f>IF(OR(H35="",G35=""),"",H35+G35*30)</f>
        <v/>
      </c>
      <c r="J35" s="13">
        <f>IF(I35="","",I35-TODAY())</f>
        <v/>
      </c>
      <c r="K35" s="14">
        <f>IF(J35="","",IF(J35&lt;0,"überfällig",IF(J35&lt;14,"bald fällig","in Ordnung")))</f>
        <v/>
      </c>
    </row>
    <row r="37">
      <c r="B37" s="15" t="inlineStr">
        <is>
          <t>Trag die Daten als echtes Datum ein (01.03.2026), nicht als Text — die Datei rechnet damit die Fälligkeit aus. Erscheint statt des Datums eine Zahl wie 46082, ist die Zelle nur falsch formatiert; stell sie auf Datum um.</t>
        </is>
      </c>
    </row>
  </sheetData>
  <conditionalFormatting sqref="J6:J35">
    <cfRule type="cellIs" priority="1" operator="lessThan" dxfId="0">
      <formula>0</formula>
    </cfRule>
    <cfRule type="cellIs" priority="2" operator="between" dxfId="1">
      <formula>0</formula>
      <formula>14</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B2:J308"/>
  <sheetViews>
    <sheetView showGridLines="0" workbookViewId="0">
      <selection activeCell="A1" sqref="A1"/>
    </sheetView>
  </sheetViews>
  <sheetFormatPr baseColWidth="8" defaultRowHeight="15"/>
  <cols>
    <col width="2" customWidth="1" min="1" max="1"/>
    <col width="14" customWidth="1" min="2" max="2"/>
    <col width="10" customWidth="1" min="3" max="3"/>
    <col width="30" customWidth="1" min="4" max="4"/>
    <col width="13" customWidth="1" min="5" max="5"/>
    <col width="13" customWidth="1" min="6" max="6"/>
    <col width="15" customWidth="1" min="7" max="7"/>
    <col width="13" customWidth="1" min="8" max="8"/>
    <col width="14" customWidth="1" min="9" max="9"/>
    <col width="28" customWidth="1" min="10" max="10"/>
  </cols>
  <sheetData>
    <row r="2">
      <c r="B2" s="6" t="inlineStr">
        <is>
          <t>Befüllprotokoll</t>
        </is>
      </c>
    </row>
    <row r="3">
      <c r="B3" s="7" t="inlineStr">
        <is>
          <t>Nach jeder Tour eine Zeile je nachgefülltem Artikel. Das ist die Grundlage der Auswertung — ohne diese Zeilen weiß niemand, was wirklich läuft.</t>
        </is>
      </c>
    </row>
    <row r="5" ht="30" customHeight="1">
      <c r="B5" s="8" t="inlineStr">
        <is>
          <t>Datum</t>
        </is>
      </c>
      <c r="C5" s="8" t="inlineStr">
        <is>
          <t>Automat</t>
        </is>
      </c>
      <c r="D5" s="8" t="inlineStr">
        <is>
          <t>Artikel</t>
        </is>
      </c>
      <c r="E5" s="8" t="inlineStr">
        <is>
          <t>nachgefüllt (Stück)</t>
        </is>
      </c>
      <c r="F5" s="8" t="inlineStr">
        <is>
          <t>Restbestand vorher</t>
        </is>
      </c>
      <c r="G5" s="8" t="inlineStr">
        <is>
          <t>verkauft seit letztem Mal</t>
        </is>
      </c>
      <c r="H5" s="8" t="inlineStr">
        <is>
          <t>Einkaufspreis je Stück</t>
        </is>
      </c>
      <c r="I5" s="8" t="inlineStr">
        <is>
          <t>Wareneinsatz</t>
        </is>
      </c>
      <c r="J5" s="8" t="inlineStr">
        <is>
          <t>Bemerkung</t>
        </is>
      </c>
    </row>
    <row r="6">
      <c r="B6" s="11" t="n">
        <v>46239</v>
      </c>
      <c r="C6" s="9" t="inlineStr">
        <is>
          <t>A1</t>
        </is>
      </c>
      <c r="D6" s="9" t="inlineStr">
        <is>
          <t>Schokoriegel 50 g</t>
        </is>
      </c>
      <c r="E6" s="10" t="n">
        <v>24</v>
      </c>
      <c r="F6" s="10" t="n">
        <v>6</v>
      </c>
      <c r="G6" s="13">
        <f>IF(E6="","",E6)</f>
        <v/>
      </c>
      <c r="H6" s="16" t="n">
        <v>0.42</v>
      </c>
      <c r="I6" s="17">
        <f>IF(OR(E6="",H6=""),"",E6*H6)</f>
        <v/>
      </c>
      <c r="J6" s="9" t="inlineStr">
        <is>
          <t>läuft gut</t>
        </is>
      </c>
    </row>
    <row r="7">
      <c r="B7" s="11" t="n">
        <v>46239</v>
      </c>
      <c r="C7" s="9" t="inlineStr">
        <is>
          <t>A1</t>
        </is>
      </c>
      <c r="D7" s="9" t="inlineStr">
        <is>
          <t>Chips 40 g</t>
        </is>
      </c>
      <c r="E7" s="10" t="n">
        <v>18</v>
      </c>
      <c r="F7" s="10" t="n">
        <v>12</v>
      </c>
      <c r="G7" s="13">
        <f>IF(E7="","",E7)</f>
        <v/>
      </c>
      <c r="H7" s="16" t="n">
        <v>0.38</v>
      </c>
      <c r="I7" s="17">
        <f>IF(OR(E7="",H7=""),"",E7*H7)</f>
        <v/>
      </c>
      <c r="J7" s="9" t="inlineStr"/>
    </row>
    <row r="8">
      <c r="B8" s="11" t="n">
        <v>46239</v>
      </c>
      <c r="C8" s="9" t="inlineStr">
        <is>
          <t>A1</t>
        </is>
      </c>
      <c r="D8" s="9" t="inlineStr">
        <is>
          <t>Wasser 0,5 l</t>
        </is>
      </c>
      <c r="E8" s="10" t="n">
        <v>20</v>
      </c>
      <c r="F8" s="10" t="n">
        <v>4</v>
      </c>
      <c r="G8" s="13">
        <f>IF(E8="","",E8)</f>
        <v/>
      </c>
      <c r="H8" s="16" t="n">
        <v>0.28</v>
      </c>
      <c r="I8" s="17">
        <f>IF(OR(E8="",H8=""),"",E8*H8)</f>
        <v/>
      </c>
      <c r="J8" s="9" t="inlineStr"/>
    </row>
    <row r="9">
      <c r="B9" s="11" t="n">
        <v>46239</v>
      </c>
      <c r="C9" s="9" t="inlineStr">
        <is>
          <t>A2</t>
        </is>
      </c>
      <c r="D9" s="9" t="inlineStr">
        <is>
          <t>Softdrink 0,5 l</t>
        </is>
      </c>
      <c r="E9" s="10" t="n">
        <v>24</v>
      </c>
      <c r="F9" s="10" t="n">
        <v>2</v>
      </c>
      <c r="G9" s="13">
        <f>IF(E9="","",E9)</f>
        <v/>
      </c>
      <c r="H9" s="16" t="n">
        <v>0.55</v>
      </c>
      <c r="I9" s="17">
        <f>IF(OR(E9="",H9=""),"",E9*H9)</f>
        <v/>
      </c>
      <c r="J9" s="9" t="inlineStr">
        <is>
          <t>war fast leer</t>
        </is>
      </c>
    </row>
    <row r="10">
      <c r="B10" s="11" t="n"/>
      <c r="C10" s="9" t="n"/>
      <c r="D10" s="9" t="n"/>
      <c r="E10" s="10" t="n"/>
      <c r="F10" s="10" t="n"/>
      <c r="G10" s="13">
        <f>IF(E10="","",E10)</f>
        <v/>
      </c>
      <c r="H10" s="16" t="n"/>
      <c r="I10" s="17">
        <f>IF(OR(E10="",H10=""),"",E10*H10)</f>
        <v/>
      </c>
      <c r="J10" s="9" t="n"/>
    </row>
    <row r="11">
      <c r="B11" s="11" t="n"/>
      <c r="C11" s="9" t="n"/>
      <c r="D11" s="9" t="n"/>
      <c r="E11" s="10" t="n"/>
      <c r="F11" s="10" t="n"/>
      <c r="G11" s="13">
        <f>IF(E11="","",E11)</f>
        <v/>
      </c>
      <c r="H11" s="16" t="n"/>
      <c r="I11" s="17">
        <f>IF(OR(E11="",H11=""),"",E11*H11)</f>
        <v/>
      </c>
      <c r="J11" s="9" t="n"/>
    </row>
    <row r="12">
      <c r="B12" s="11" t="n"/>
      <c r="C12" s="9" t="n"/>
      <c r="D12" s="9" t="n"/>
      <c r="E12" s="10" t="n"/>
      <c r="F12" s="10" t="n"/>
      <c r="G12" s="13">
        <f>IF(E12="","",E12)</f>
        <v/>
      </c>
      <c r="H12" s="16" t="n"/>
      <c r="I12" s="17">
        <f>IF(OR(E12="",H12=""),"",E12*H12)</f>
        <v/>
      </c>
      <c r="J12" s="9" t="n"/>
    </row>
    <row r="13">
      <c r="B13" s="11" t="n"/>
      <c r="C13" s="9" t="n"/>
      <c r="D13" s="9" t="n"/>
      <c r="E13" s="10" t="n"/>
      <c r="F13" s="10" t="n"/>
      <c r="G13" s="13">
        <f>IF(E13="","",E13)</f>
        <v/>
      </c>
      <c r="H13" s="16" t="n"/>
      <c r="I13" s="17">
        <f>IF(OR(E13="",H13=""),"",E13*H13)</f>
        <v/>
      </c>
      <c r="J13" s="9" t="n"/>
    </row>
    <row r="14">
      <c r="B14" s="11" t="n"/>
      <c r="C14" s="9" t="n"/>
      <c r="D14" s="9" t="n"/>
      <c r="E14" s="10" t="n"/>
      <c r="F14" s="10" t="n"/>
      <c r="G14" s="13">
        <f>IF(E14="","",E14)</f>
        <v/>
      </c>
      <c r="H14" s="16" t="n"/>
      <c r="I14" s="17">
        <f>IF(OR(E14="",H14=""),"",E14*H14)</f>
        <v/>
      </c>
      <c r="J14" s="9" t="n"/>
    </row>
    <row r="15">
      <c r="B15" s="11" t="n"/>
      <c r="C15" s="9" t="n"/>
      <c r="D15" s="9" t="n"/>
      <c r="E15" s="10" t="n"/>
      <c r="F15" s="10" t="n"/>
      <c r="G15" s="13">
        <f>IF(E15="","",E15)</f>
        <v/>
      </c>
      <c r="H15" s="16" t="n"/>
      <c r="I15" s="17">
        <f>IF(OR(E15="",H15=""),"",E15*H15)</f>
        <v/>
      </c>
      <c r="J15" s="9" t="n"/>
    </row>
    <row r="16">
      <c r="B16" s="11" t="n"/>
      <c r="C16" s="9" t="n"/>
      <c r="D16" s="9" t="n"/>
      <c r="E16" s="10" t="n"/>
      <c r="F16" s="10" t="n"/>
      <c r="G16" s="13">
        <f>IF(E16="","",E16)</f>
        <v/>
      </c>
      <c r="H16" s="16" t="n"/>
      <c r="I16" s="17">
        <f>IF(OR(E16="",H16=""),"",E16*H16)</f>
        <v/>
      </c>
      <c r="J16" s="9" t="n"/>
    </row>
    <row r="17">
      <c r="B17" s="11" t="n"/>
      <c r="C17" s="9" t="n"/>
      <c r="D17" s="9" t="n"/>
      <c r="E17" s="10" t="n"/>
      <c r="F17" s="10" t="n"/>
      <c r="G17" s="13">
        <f>IF(E17="","",E17)</f>
        <v/>
      </c>
      <c r="H17" s="16" t="n"/>
      <c r="I17" s="17">
        <f>IF(OR(E17="",H17=""),"",E17*H17)</f>
        <v/>
      </c>
      <c r="J17" s="9" t="n"/>
    </row>
    <row r="18">
      <c r="B18" s="11" t="n"/>
      <c r="C18" s="9" t="n"/>
      <c r="D18" s="9" t="n"/>
      <c r="E18" s="10" t="n"/>
      <c r="F18" s="10" t="n"/>
      <c r="G18" s="13">
        <f>IF(E18="","",E18)</f>
        <v/>
      </c>
      <c r="H18" s="16" t="n"/>
      <c r="I18" s="17">
        <f>IF(OR(E18="",H18=""),"",E18*H18)</f>
        <v/>
      </c>
      <c r="J18" s="9" t="n"/>
    </row>
    <row r="19">
      <c r="B19" s="11" t="n"/>
      <c r="C19" s="9" t="n"/>
      <c r="D19" s="9" t="n"/>
      <c r="E19" s="10" t="n"/>
      <c r="F19" s="10" t="n"/>
      <c r="G19" s="13">
        <f>IF(E19="","",E19)</f>
        <v/>
      </c>
      <c r="H19" s="16" t="n"/>
      <c r="I19" s="17">
        <f>IF(OR(E19="",H19=""),"",E19*H19)</f>
        <v/>
      </c>
      <c r="J19" s="9" t="n"/>
    </row>
    <row r="20">
      <c r="B20" s="11" t="n"/>
      <c r="C20" s="9" t="n"/>
      <c r="D20" s="9" t="n"/>
      <c r="E20" s="10" t="n"/>
      <c r="F20" s="10" t="n"/>
      <c r="G20" s="13">
        <f>IF(E20="","",E20)</f>
        <v/>
      </c>
      <c r="H20" s="16" t="n"/>
      <c r="I20" s="17">
        <f>IF(OR(E20="",H20=""),"",E20*H20)</f>
        <v/>
      </c>
      <c r="J20" s="9" t="n"/>
    </row>
    <row r="21">
      <c r="B21" s="11" t="n"/>
      <c r="C21" s="9" t="n"/>
      <c r="D21" s="9" t="n"/>
      <c r="E21" s="10" t="n"/>
      <c r="F21" s="10" t="n"/>
      <c r="G21" s="13">
        <f>IF(E21="","",E21)</f>
        <v/>
      </c>
      <c r="H21" s="16" t="n"/>
      <c r="I21" s="17">
        <f>IF(OR(E21="",H21=""),"",E21*H21)</f>
        <v/>
      </c>
      <c r="J21" s="9" t="n"/>
    </row>
    <row r="22">
      <c r="B22" s="11" t="n"/>
      <c r="C22" s="9" t="n"/>
      <c r="D22" s="9" t="n"/>
      <c r="E22" s="10" t="n"/>
      <c r="F22" s="10" t="n"/>
      <c r="G22" s="13">
        <f>IF(E22="","",E22)</f>
        <v/>
      </c>
      <c r="H22" s="16" t="n"/>
      <c r="I22" s="17">
        <f>IF(OR(E22="",H22=""),"",E22*H22)</f>
        <v/>
      </c>
      <c r="J22" s="9" t="n"/>
    </row>
    <row r="23">
      <c r="B23" s="11" t="n"/>
      <c r="C23" s="9" t="n"/>
      <c r="D23" s="9" t="n"/>
      <c r="E23" s="10" t="n"/>
      <c r="F23" s="10" t="n"/>
      <c r="G23" s="13">
        <f>IF(E23="","",E23)</f>
        <v/>
      </c>
      <c r="H23" s="16" t="n"/>
      <c r="I23" s="17">
        <f>IF(OR(E23="",H23=""),"",E23*H23)</f>
        <v/>
      </c>
      <c r="J23" s="9" t="n"/>
    </row>
    <row r="24">
      <c r="B24" s="11" t="n"/>
      <c r="C24" s="9" t="n"/>
      <c r="D24" s="9" t="n"/>
      <c r="E24" s="10" t="n"/>
      <c r="F24" s="10" t="n"/>
      <c r="G24" s="13">
        <f>IF(E24="","",E24)</f>
        <v/>
      </c>
      <c r="H24" s="16" t="n"/>
      <c r="I24" s="17">
        <f>IF(OR(E24="",H24=""),"",E24*H24)</f>
        <v/>
      </c>
      <c r="J24" s="9" t="n"/>
    </row>
    <row r="25">
      <c r="B25" s="11" t="n"/>
      <c r="C25" s="9" t="n"/>
      <c r="D25" s="9" t="n"/>
      <c r="E25" s="10" t="n"/>
      <c r="F25" s="10" t="n"/>
      <c r="G25" s="13">
        <f>IF(E25="","",E25)</f>
        <v/>
      </c>
      <c r="H25" s="16" t="n"/>
      <c r="I25" s="17">
        <f>IF(OR(E25="",H25=""),"",E25*H25)</f>
        <v/>
      </c>
      <c r="J25" s="9" t="n"/>
    </row>
    <row r="26">
      <c r="B26" s="11" t="n"/>
      <c r="C26" s="9" t="n"/>
      <c r="D26" s="9" t="n"/>
      <c r="E26" s="10" t="n"/>
      <c r="F26" s="10" t="n"/>
      <c r="G26" s="13">
        <f>IF(E26="","",E26)</f>
        <v/>
      </c>
      <c r="H26" s="16" t="n"/>
      <c r="I26" s="17">
        <f>IF(OR(E26="",H26=""),"",E26*H26)</f>
        <v/>
      </c>
      <c r="J26" s="9" t="n"/>
    </row>
    <row r="27">
      <c r="B27" s="11" t="n"/>
      <c r="C27" s="9" t="n"/>
      <c r="D27" s="9" t="n"/>
      <c r="E27" s="10" t="n"/>
      <c r="F27" s="10" t="n"/>
      <c r="G27" s="13">
        <f>IF(E27="","",E27)</f>
        <v/>
      </c>
      <c r="H27" s="16" t="n"/>
      <c r="I27" s="17">
        <f>IF(OR(E27="",H27=""),"",E27*H27)</f>
        <v/>
      </c>
      <c r="J27" s="9" t="n"/>
    </row>
    <row r="28">
      <c r="B28" s="11" t="n"/>
      <c r="C28" s="9" t="n"/>
      <c r="D28" s="9" t="n"/>
      <c r="E28" s="10" t="n"/>
      <c r="F28" s="10" t="n"/>
      <c r="G28" s="13">
        <f>IF(E28="","",E28)</f>
        <v/>
      </c>
      <c r="H28" s="16" t="n"/>
      <c r="I28" s="17">
        <f>IF(OR(E28="",H28=""),"",E28*H28)</f>
        <v/>
      </c>
      <c r="J28" s="9" t="n"/>
    </row>
    <row r="29">
      <c r="B29" s="11" t="n"/>
      <c r="C29" s="9" t="n"/>
      <c r="D29" s="9" t="n"/>
      <c r="E29" s="10" t="n"/>
      <c r="F29" s="10" t="n"/>
      <c r="G29" s="13">
        <f>IF(E29="","",E29)</f>
        <v/>
      </c>
      <c r="H29" s="16" t="n"/>
      <c r="I29" s="17">
        <f>IF(OR(E29="",H29=""),"",E29*H29)</f>
        <v/>
      </c>
      <c r="J29" s="9" t="n"/>
    </row>
    <row r="30">
      <c r="B30" s="11" t="n"/>
      <c r="C30" s="9" t="n"/>
      <c r="D30" s="9" t="n"/>
      <c r="E30" s="10" t="n"/>
      <c r="F30" s="10" t="n"/>
      <c r="G30" s="13">
        <f>IF(E30="","",E30)</f>
        <v/>
      </c>
      <c r="H30" s="16" t="n"/>
      <c r="I30" s="17">
        <f>IF(OR(E30="",H30=""),"",E30*H30)</f>
        <v/>
      </c>
      <c r="J30" s="9" t="n"/>
    </row>
    <row r="31">
      <c r="B31" s="11" t="n"/>
      <c r="C31" s="9" t="n"/>
      <c r="D31" s="9" t="n"/>
      <c r="E31" s="10" t="n"/>
      <c r="F31" s="10" t="n"/>
      <c r="G31" s="13">
        <f>IF(E31="","",E31)</f>
        <v/>
      </c>
      <c r="H31" s="16" t="n"/>
      <c r="I31" s="17">
        <f>IF(OR(E31="",H31=""),"",E31*H31)</f>
        <v/>
      </c>
      <c r="J31" s="9" t="n"/>
    </row>
    <row r="32">
      <c r="B32" s="11" t="n"/>
      <c r="C32" s="9" t="n"/>
      <c r="D32" s="9" t="n"/>
      <c r="E32" s="10" t="n"/>
      <c r="F32" s="10" t="n"/>
      <c r="G32" s="13">
        <f>IF(E32="","",E32)</f>
        <v/>
      </c>
      <c r="H32" s="16" t="n"/>
      <c r="I32" s="17">
        <f>IF(OR(E32="",H32=""),"",E32*H32)</f>
        <v/>
      </c>
      <c r="J32" s="9" t="n"/>
    </row>
    <row r="33">
      <c r="B33" s="11" t="n"/>
      <c r="C33" s="9" t="n"/>
      <c r="D33" s="9" t="n"/>
      <c r="E33" s="10" t="n"/>
      <c r="F33" s="10" t="n"/>
      <c r="G33" s="13">
        <f>IF(E33="","",E33)</f>
        <v/>
      </c>
      <c r="H33" s="16" t="n"/>
      <c r="I33" s="17">
        <f>IF(OR(E33="",H33=""),"",E33*H33)</f>
        <v/>
      </c>
      <c r="J33" s="9" t="n"/>
    </row>
    <row r="34">
      <c r="B34" s="11" t="n"/>
      <c r="C34" s="9" t="n"/>
      <c r="D34" s="9" t="n"/>
      <c r="E34" s="10" t="n"/>
      <c r="F34" s="10" t="n"/>
      <c r="G34" s="13">
        <f>IF(E34="","",E34)</f>
        <v/>
      </c>
      <c r="H34" s="16" t="n"/>
      <c r="I34" s="17">
        <f>IF(OR(E34="",H34=""),"",E34*H34)</f>
        <v/>
      </c>
      <c r="J34" s="9" t="n"/>
    </row>
    <row r="35">
      <c r="B35" s="11" t="n"/>
      <c r="C35" s="9" t="n"/>
      <c r="D35" s="9" t="n"/>
      <c r="E35" s="10" t="n"/>
      <c r="F35" s="10" t="n"/>
      <c r="G35" s="13">
        <f>IF(E35="","",E35)</f>
        <v/>
      </c>
      <c r="H35" s="16" t="n"/>
      <c r="I35" s="17">
        <f>IF(OR(E35="",H35=""),"",E35*H35)</f>
        <v/>
      </c>
      <c r="J35" s="9" t="n"/>
    </row>
    <row r="36">
      <c r="B36" s="11" t="n"/>
      <c r="C36" s="9" t="n"/>
      <c r="D36" s="9" t="n"/>
      <c r="E36" s="10" t="n"/>
      <c r="F36" s="10" t="n"/>
      <c r="G36" s="13">
        <f>IF(E36="","",E36)</f>
        <v/>
      </c>
      <c r="H36" s="16" t="n"/>
      <c r="I36" s="17">
        <f>IF(OR(E36="",H36=""),"",E36*H36)</f>
        <v/>
      </c>
      <c r="J36" s="9" t="n"/>
    </row>
    <row r="37">
      <c r="B37" s="11" t="n"/>
      <c r="C37" s="9" t="n"/>
      <c r="D37" s="9" t="n"/>
      <c r="E37" s="10" t="n"/>
      <c r="F37" s="10" t="n"/>
      <c r="G37" s="13">
        <f>IF(E37="","",E37)</f>
        <v/>
      </c>
      <c r="H37" s="16" t="n"/>
      <c r="I37" s="17">
        <f>IF(OR(E37="",H37=""),"",E37*H37)</f>
        <v/>
      </c>
      <c r="J37" s="9" t="n"/>
    </row>
    <row r="38">
      <c r="B38" s="11" t="n"/>
      <c r="C38" s="9" t="n"/>
      <c r="D38" s="9" t="n"/>
      <c r="E38" s="10" t="n"/>
      <c r="F38" s="10" t="n"/>
      <c r="G38" s="13">
        <f>IF(E38="","",E38)</f>
        <v/>
      </c>
      <c r="H38" s="16" t="n"/>
      <c r="I38" s="17">
        <f>IF(OR(E38="",H38=""),"",E38*H38)</f>
        <v/>
      </c>
      <c r="J38" s="9" t="n"/>
    </row>
    <row r="39">
      <c r="B39" s="11" t="n"/>
      <c r="C39" s="9" t="n"/>
      <c r="D39" s="9" t="n"/>
      <c r="E39" s="10" t="n"/>
      <c r="F39" s="10" t="n"/>
      <c r="G39" s="13">
        <f>IF(E39="","",E39)</f>
        <v/>
      </c>
      <c r="H39" s="16" t="n"/>
      <c r="I39" s="17">
        <f>IF(OR(E39="",H39=""),"",E39*H39)</f>
        <v/>
      </c>
      <c r="J39" s="9" t="n"/>
    </row>
    <row r="40">
      <c r="B40" s="11" t="n"/>
      <c r="C40" s="9" t="n"/>
      <c r="D40" s="9" t="n"/>
      <c r="E40" s="10" t="n"/>
      <c r="F40" s="10" t="n"/>
      <c r="G40" s="13">
        <f>IF(E40="","",E40)</f>
        <v/>
      </c>
      <c r="H40" s="16" t="n"/>
      <c r="I40" s="17">
        <f>IF(OR(E40="",H40=""),"",E40*H40)</f>
        <v/>
      </c>
      <c r="J40" s="9" t="n"/>
    </row>
    <row r="41">
      <c r="B41" s="11" t="n"/>
      <c r="C41" s="9" t="n"/>
      <c r="D41" s="9" t="n"/>
      <c r="E41" s="10" t="n"/>
      <c r="F41" s="10" t="n"/>
      <c r="G41" s="13">
        <f>IF(E41="","",E41)</f>
        <v/>
      </c>
      <c r="H41" s="16" t="n"/>
      <c r="I41" s="17">
        <f>IF(OR(E41="",H41=""),"",E41*H41)</f>
        <v/>
      </c>
      <c r="J41" s="9" t="n"/>
    </row>
    <row r="42">
      <c r="B42" s="11" t="n"/>
      <c r="C42" s="9" t="n"/>
      <c r="D42" s="9" t="n"/>
      <c r="E42" s="10" t="n"/>
      <c r="F42" s="10" t="n"/>
      <c r="G42" s="13">
        <f>IF(E42="","",E42)</f>
        <v/>
      </c>
      <c r="H42" s="16" t="n"/>
      <c r="I42" s="17">
        <f>IF(OR(E42="",H42=""),"",E42*H42)</f>
        <v/>
      </c>
      <c r="J42" s="9" t="n"/>
    </row>
    <row r="43">
      <c r="B43" s="11" t="n"/>
      <c r="C43" s="9" t="n"/>
      <c r="D43" s="9" t="n"/>
      <c r="E43" s="10" t="n"/>
      <c r="F43" s="10" t="n"/>
      <c r="G43" s="13">
        <f>IF(E43="","",E43)</f>
        <v/>
      </c>
      <c r="H43" s="16" t="n"/>
      <c r="I43" s="17">
        <f>IF(OR(E43="",H43=""),"",E43*H43)</f>
        <v/>
      </c>
      <c r="J43" s="9" t="n"/>
    </row>
    <row r="44">
      <c r="B44" s="11" t="n"/>
      <c r="C44" s="9" t="n"/>
      <c r="D44" s="9" t="n"/>
      <c r="E44" s="10" t="n"/>
      <c r="F44" s="10" t="n"/>
      <c r="G44" s="13">
        <f>IF(E44="","",E44)</f>
        <v/>
      </c>
      <c r="H44" s="16" t="n"/>
      <c r="I44" s="17">
        <f>IF(OR(E44="",H44=""),"",E44*H44)</f>
        <v/>
      </c>
      <c r="J44" s="9" t="n"/>
    </row>
    <row r="45">
      <c r="B45" s="11" t="n"/>
      <c r="C45" s="9" t="n"/>
      <c r="D45" s="9" t="n"/>
      <c r="E45" s="10" t="n"/>
      <c r="F45" s="10" t="n"/>
      <c r="G45" s="13">
        <f>IF(E45="","",E45)</f>
        <v/>
      </c>
      <c r="H45" s="16" t="n"/>
      <c r="I45" s="17">
        <f>IF(OR(E45="",H45=""),"",E45*H45)</f>
        <v/>
      </c>
      <c r="J45" s="9" t="n"/>
    </row>
    <row r="46">
      <c r="B46" s="11" t="n"/>
      <c r="C46" s="9" t="n"/>
      <c r="D46" s="9" t="n"/>
      <c r="E46" s="10" t="n"/>
      <c r="F46" s="10" t="n"/>
      <c r="G46" s="13">
        <f>IF(E46="","",E46)</f>
        <v/>
      </c>
      <c r="H46" s="16" t="n"/>
      <c r="I46" s="17">
        <f>IF(OR(E46="",H46=""),"",E46*H46)</f>
        <v/>
      </c>
      <c r="J46" s="9" t="n"/>
    </row>
    <row r="47">
      <c r="B47" s="11" t="n"/>
      <c r="C47" s="9" t="n"/>
      <c r="D47" s="9" t="n"/>
      <c r="E47" s="10" t="n"/>
      <c r="F47" s="10" t="n"/>
      <c r="G47" s="13">
        <f>IF(E47="","",E47)</f>
        <v/>
      </c>
      <c r="H47" s="16" t="n"/>
      <c r="I47" s="17">
        <f>IF(OR(E47="",H47=""),"",E47*H47)</f>
        <v/>
      </c>
      <c r="J47" s="9" t="n"/>
    </row>
    <row r="48">
      <c r="B48" s="11" t="n"/>
      <c r="C48" s="9" t="n"/>
      <c r="D48" s="9" t="n"/>
      <c r="E48" s="10" t="n"/>
      <c r="F48" s="10" t="n"/>
      <c r="G48" s="13">
        <f>IF(E48="","",E48)</f>
        <v/>
      </c>
      <c r="H48" s="16" t="n"/>
      <c r="I48" s="17">
        <f>IF(OR(E48="",H48=""),"",E48*H48)</f>
        <v/>
      </c>
      <c r="J48" s="9" t="n"/>
    </row>
    <row r="49">
      <c r="B49" s="11" t="n"/>
      <c r="C49" s="9" t="n"/>
      <c r="D49" s="9" t="n"/>
      <c r="E49" s="10" t="n"/>
      <c r="F49" s="10" t="n"/>
      <c r="G49" s="13">
        <f>IF(E49="","",E49)</f>
        <v/>
      </c>
      <c r="H49" s="16" t="n"/>
      <c r="I49" s="17">
        <f>IF(OR(E49="",H49=""),"",E49*H49)</f>
        <v/>
      </c>
      <c r="J49" s="9" t="n"/>
    </row>
    <row r="50">
      <c r="B50" s="11" t="n"/>
      <c r="C50" s="9" t="n"/>
      <c r="D50" s="9" t="n"/>
      <c r="E50" s="10" t="n"/>
      <c r="F50" s="10" t="n"/>
      <c r="G50" s="13">
        <f>IF(E50="","",E50)</f>
        <v/>
      </c>
      <c r="H50" s="16" t="n"/>
      <c r="I50" s="17">
        <f>IF(OR(E50="",H50=""),"",E50*H50)</f>
        <v/>
      </c>
      <c r="J50" s="9" t="n"/>
    </row>
    <row r="51">
      <c r="B51" s="11" t="n"/>
      <c r="C51" s="9" t="n"/>
      <c r="D51" s="9" t="n"/>
      <c r="E51" s="10" t="n"/>
      <c r="F51" s="10" t="n"/>
      <c r="G51" s="13">
        <f>IF(E51="","",E51)</f>
        <v/>
      </c>
      <c r="H51" s="16" t="n"/>
      <c r="I51" s="17">
        <f>IF(OR(E51="",H51=""),"",E51*H51)</f>
        <v/>
      </c>
      <c r="J51" s="9" t="n"/>
    </row>
    <row r="52">
      <c r="B52" s="11" t="n"/>
      <c r="C52" s="9" t="n"/>
      <c r="D52" s="9" t="n"/>
      <c r="E52" s="10" t="n"/>
      <c r="F52" s="10" t="n"/>
      <c r="G52" s="13">
        <f>IF(E52="","",E52)</f>
        <v/>
      </c>
      <c r="H52" s="16" t="n"/>
      <c r="I52" s="17">
        <f>IF(OR(E52="",H52=""),"",E52*H52)</f>
        <v/>
      </c>
      <c r="J52" s="9" t="n"/>
    </row>
    <row r="53">
      <c r="B53" s="11" t="n"/>
      <c r="C53" s="9" t="n"/>
      <c r="D53" s="9" t="n"/>
      <c r="E53" s="10" t="n"/>
      <c r="F53" s="10" t="n"/>
      <c r="G53" s="13">
        <f>IF(E53="","",E53)</f>
        <v/>
      </c>
      <c r="H53" s="16" t="n"/>
      <c r="I53" s="17">
        <f>IF(OR(E53="",H53=""),"",E53*H53)</f>
        <v/>
      </c>
      <c r="J53" s="9" t="n"/>
    </row>
    <row r="54">
      <c r="B54" s="11" t="n"/>
      <c r="C54" s="9" t="n"/>
      <c r="D54" s="9" t="n"/>
      <c r="E54" s="10" t="n"/>
      <c r="F54" s="10" t="n"/>
      <c r="G54" s="13">
        <f>IF(E54="","",E54)</f>
        <v/>
      </c>
      <c r="H54" s="16" t="n"/>
      <c r="I54" s="17">
        <f>IF(OR(E54="",H54=""),"",E54*H54)</f>
        <v/>
      </c>
      <c r="J54" s="9" t="n"/>
    </row>
    <row r="55">
      <c r="B55" s="11" t="n"/>
      <c r="C55" s="9" t="n"/>
      <c r="D55" s="9" t="n"/>
      <c r="E55" s="10" t="n"/>
      <c r="F55" s="10" t="n"/>
      <c r="G55" s="13">
        <f>IF(E55="","",E55)</f>
        <v/>
      </c>
      <c r="H55" s="16" t="n"/>
      <c r="I55" s="17">
        <f>IF(OR(E55="",H55=""),"",E55*H55)</f>
        <v/>
      </c>
      <c r="J55" s="9" t="n"/>
    </row>
    <row r="56">
      <c r="B56" s="11" t="n"/>
      <c r="C56" s="9" t="n"/>
      <c r="D56" s="9" t="n"/>
      <c r="E56" s="10" t="n"/>
      <c r="F56" s="10" t="n"/>
      <c r="G56" s="13">
        <f>IF(E56="","",E56)</f>
        <v/>
      </c>
      <c r="H56" s="16" t="n"/>
      <c r="I56" s="17">
        <f>IF(OR(E56="",H56=""),"",E56*H56)</f>
        <v/>
      </c>
      <c r="J56" s="9" t="n"/>
    </row>
    <row r="57">
      <c r="B57" s="11" t="n"/>
      <c r="C57" s="9" t="n"/>
      <c r="D57" s="9" t="n"/>
      <c r="E57" s="10" t="n"/>
      <c r="F57" s="10" t="n"/>
      <c r="G57" s="13">
        <f>IF(E57="","",E57)</f>
        <v/>
      </c>
      <c r="H57" s="16" t="n"/>
      <c r="I57" s="17">
        <f>IF(OR(E57="",H57=""),"",E57*H57)</f>
        <v/>
      </c>
      <c r="J57" s="9" t="n"/>
    </row>
    <row r="58">
      <c r="B58" s="11" t="n"/>
      <c r="C58" s="9" t="n"/>
      <c r="D58" s="9" t="n"/>
      <c r="E58" s="10" t="n"/>
      <c r="F58" s="10" t="n"/>
      <c r="G58" s="13">
        <f>IF(E58="","",E58)</f>
        <v/>
      </c>
      <c r="H58" s="16" t="n"/>
      <c r="I58" s="17">
        <f>IF(OR(E58="",H58=""),"",E58*H58)</f>
        <v/>
      </c>
      <c r="J58" s="9" t="n"/>
    </row>
    <row r="59">
      <c r="B59" s="11" t="n"/>
      <c r="C59" s="9" t="n"/>
      <c r="D59" s="9" t="n"/>
      <c r="E59" s="10" t="n"/>
      <c r="F59" s="10" t="n"/>
      <c r="G59" s="13">
        <f>IF(E59="","",E59)</f>
        <v/>
      </c>
      <c r="H59" s="16" t="n"/>
      <c r="I59" s="17">
        <f>IF(OR(E59="",H59=""),"",E59*H59)</f>
        <v/>
      </c>
      <c r="J59" s="9" t="n"/>
    </row>
    <row r="60">
      <c r="B60" s="11" t="n"/>
      <c r="C60" s="9" t="n"/>
      <c r="D60" s="9" t="n"/>
      <c r="E60" s="10" t="n"/>
      <c r="F60" s="10" t="n"/>
      <c r="G60" s="13">
        <f>IF(E60="","",E60)</f>
        <v/>
      </c>
      <c r="H60" s="16" t="n"/>
      <c r="I60" s="17">
        <f>IF(OR(E60="",H60=""),"",E60*H60)</f>
        <v/>
      </c>
      <c r="J60" s="9" t="n"/>
    </row>
    <row r="61">
      <c r="B61" s="11" t="n"/>
      <c r="C61" s="9" t="n"/>
      <c r="D61" s="9" t="n"/>
      <c r="E61" s="10" t="n"/>
      <c r="F61" s="10" t="n"/>
      <c r="G61" s="13">
        <f>IF(E61="","",E61)</f>
        <v/>
      </c>
      <c r="H61" s="16" t="n"/>
      <c r="I61" s="17">
        <f>IF(OR(E61="",H61=""),"",E61*H61)</f>
        <v/>
      </c>
      <c r="J61" s="9" t="n"/>
    </row>
    <row r="62">
      <c r="B62" s="11" t="n"/>
      <c r="C62" s="9" t="n"/>
      <c r="D62" s="9" t="n"/>
      <c r="E62" s="10" t="n"/>
      <c r="F62" s="10" t="n"/>
      <c r="G62" s="13">
        <f>IF(E62="","",E62)</f>
        <v/>
      </c>
      <c r="H62" s="16" t="n"/>
      <c r="I62" s="17">
        <f>IF(OR(E62="",H62=""),"",E62*H62)</f>
        <v/>
      </c>
      <c r="J62" s="9" t="n"/>
    </row>
    <row r="63">
      <c r="B63" s="11" t="n"/>
      <c r="C63" s="9" t="n"/>
      <c r="D63" s="9" t="n"/>
      <c r="E63" s="10" t="n"/>
      <c r="F63" s="10" t="n"/>
      <c r="G63" s="13">
        <f>IF(E63="","",E63)</f>
        <v/>
      </c>
      <c r="H63" s="16" t="n"/>
      <c r="I63" s="17">
        <f>IF(OR(E63="",H63=""),"",E63*H63)</f>
        <v/>
      </c>
      <c r="J63" s="9" t="n"/>
    </row>
    <row r="64">
      <c r="B64" s="11" t="n"/>
      <c r="C64" s="9" t="n"/>
      <c r="D64" s="9" t="n"/>
      <c r="E64" s="10" t="n"/>
      <c r="F64" s="10" t="n"/>
      <c r="G64" s="13">
        <f>IF(E64="","",E64)</f>
        <v/>
      </c>
      <c r="H64" s="16" t="n"/>
      <c r="I64" s="17">
        <f>IF(OR(E64="",H64=""),"",E64*H64)</f>
        <v/>
      </c>
      <c r="J64" s="9" t="n"/>
    </row>
    <row r="65">
      <c r="B65" s="11" t="n"/>
      <c r="C65" s="9" t="n"/>
      <c r="D65" s="9" t="n"/>
      <c r="E65" s="10" t="n"/>
      <c r="F65" s="10" t="n"/>
      <c r="G65" s="13">
        <f>IF(E65="","",E65)</f>
        <v/>
      </c>
      <c r="H65" s="16" t="n"/>
      <c r="I65" s="17">
        <f>IF(OR(E65="",H65=""),"",E65*H65)</f>
        <v/>
      </c>
      <c r="J65" s="9" t="n"/>
    </row>
    <row r="66">
      <c r="B66" s="11" t="n"/>
      <c r="C66" s="9" t="n"/>
      <c r="D66" s="9" t="n"/>
      <c r="E66" s="10" t="n"/>
      <c r="F66" s="10" t="n"/>
      <c r="G66" s="13">
        <f>IF(E66="","",E66)</f>
        <v/>
      </c>
      <c r="H66" s="16" t="n"/>
      <c r="I66" s="17">
        <f>IF(OR(E66="",H66=""),"",E66*H66)</f>
        <v/>
      </c>
      <c r="J66" s="9" t="n"/>
    </row>
    <row r="67">
      <c r="B67" s="11" t="n"/>
      <c r="C67" s="9" t="n"/>
      <c r="D67" s="9" t="n"/>
      <c r="E67" s="10" t="n"/>
      <c r="F67" s="10" t="n"/>
      <c r="G67" s="13">
        <f>IF(E67="","",E67)</f>
        <v/>
      </c>
      <c r="H67" s="16" t="n"/>
      <c r="I67" s="17">
        <f>IF(OR(E67="",H67=""),"",E67*H67)</f>
        <v/>
      </c>
      <c r="J67" s="9" t="n"/>
    </row>
    <row r="68">
      <c r="B68" s="11" t="n"/>
      <c r="C68" s="9" t="n"/>
      <c r="D68" s="9" t="n"/>
      <c r="E68" s="10" t="n"/>
      <c r="F68" s="10" t="n"/>
      <c r="G68" s="13">
        <f>IF(E68="","",E68)</f>
        <v/>
      </c>
      <c r="H68" s="16" t="n"/>
      <c r="I68" s="17">
        <f>IF(OR(E68="",H68=""),"",E68*H68)</f>
        <v/>
      </c>
      <c r="J68" s="9" t="n"/>
    </row>
    <row r="69">
      <c r="B69" s="11" t="n"/>
      <c r="C69" s="9" t="n"/>
      <c r="D69" s="9" t="n"/>
      <c r="E69" s="10" t="n"/>
      <c r="F69" s="10" t="n"/>
      <c r="G69" s="13">
        <f>IF(E69="","",E69)</f>
        <v/>
      </c>
      <c r="H69" s="16" t="n"/>
      <c r="I69" s="17">
        <f>IF(OR(E69="",H69=""),"",E69*H69)</f>
        <v/>
      </c>
      <c r="J69" s="9" t="n"/>
    </row>
    <row r="70">
      <c r="B70" s="11" t="n"/>
      <c r="C70" s="9" t="n"/>
      <c r="D70" s="9" t="n"/>
      <c r="E70" s="10" t="n"/>
      <c r="F70" s="10" t="n"/>
      <c r="G70" s="13">
        <f>IF(E70="","",E70)</f>
        <v/>
      </c>
      <c r="H70" s="16" t="n"/>
      <c r="I70" s="17">
        <f>IF(OR(E70="",H70=""),"",E70*H70)</f>
        <v/>
      </c>
      <c r="J70" s="9" t="n"/>
    </row>
    <row r="71">
      <c r="B71" s="11" t="n"/>
      <c r="C71" s="9" t="n"/>
      <c r="D71" s="9" t="n"/>
      <c r="E71" s="10" t="n"/>
      <c r="F71" s="10" t="n"/>
      <c r="G71" s="13">
        <f>IF(E71="","",E71)</f>
        <v/>
      </c>
      <c r="H71" s="16" t="n"/>
      <c r="I71" s="17">
        <f>IF(OR(E71="",H71=""),"",E71*H71)</f>
        <v/>
      </c>
      <c r="J71" s="9" t="n"/>
    </row>
    <row r="72">
      <c r="B72" s="11" t="n"/>
      <c r="C72" s="9" t="n"/>
      <c r="D72" s="9" t="n"/>
      <c r="E72" s="10" t="n"/>
      <c r="F72" s="10" t="n"/>
      <c r="G72" s="13">
        <f>IF(E72="","",E72)</f>
        <v/>
      </c>
      <c r="H72" s="16" t="n"/>
      <c r="I72" s="17">
        <f>IF(OR(E72="",H72=""),"",E72*H72)</f>
        <v/>
      </c>
      <c r="J72" s="9" t="n"/>
    </row>
    <row r="73">
      <c r="B73" s="11" t="n"/>
      <c r="C73" s="9" t="n"/>
      <c r="D73" s="9" t="n"/>
      <c r="E73" s="10" t="n"/>
      <c r="F73" s="10" t="n"/>
      <c r="G73" s="13">
        <f>IF(E73="","",E73)</f>
        <v/>
      </c>
      <c r="H73" s="16" t="n"/>
      <c r="I73" s="17">
        <f>IF(OR(E73="",H73=""),"",E73*H73)</f>
        <v/>
      </c>
      <c r="J73" s="9" t="n"/>
    </row>
    <row r="74">
      <c r="B74" s="11" t="n"/>
      <c r="C74" s="9" t="n"/>
      <c r="D74" s="9" t="n"/>
      <c r="E74" s="10" t="n"/>
      <c r="F74" s="10" t="n"/>
      <c r="G74" s="13">
        <f>IF(E74="","",E74)</f>
        <v/>
      </c>
      <c r="H74" s="16" t="n"/>
      <c r="I74" s="17">
        <f>IF(OR(E74="",H74=""),"",E74*H74)</f>
        <v/>
      </c>
      <c r="J74" s="9" t="n"/>
    </row>
    <row r="75">
      <c r="B75" s="11" t="n"/>
      <c r="C75" s="9" t="n"/>
      <c r="D75" s="9" t="n"/>
      <c r="E75" s="10" t="n"/>
      <c r="F75" s="10" t="n"/>
      <c r="G75" s="13">
        <f>IF(E75="","",E75)</f>
        <v/>
      </c>
      <c r="H75" s="16" t="n"/>
      <c r="I75" s="17">
        <f>IF(OR(E75="",H75=""),"",E75*H75)</f>
        <v/>
      </c>
      <c r="J75" s="9" t="n"/>
    </row>
    <row r="76">
      <c r="B76" s="11" t="n"/>
      <c r="C76" s="9" t="n"/>
      <c r="D76" s="9" t="n"/>
      <c r="E76" s="10" t="n"/>
      <c r="F76" s="10" t="n"/>
      <c r="G76" s="13">
        <f>IF(E76="","",E76)</f>
        <v/>
      </c>
      <c r="H76" s="16" t="n"/>
      <c r="I76" s="17">
        <f>IF(OR(E76="",H76=""),"",E76*H76)</f>
        <v/>
      </c>
      <c r="J76" s="9" t="n"/>
    </row>
    <row r="77">
      <c r="B77" s="11" t="n"/>
      <c r="C77" s="9" t="n"/>
      <c r="D77" s="9" t="n"/>
      <c r="E77" s="10" t="n"/>
      <c r="F77" s="10" t="n"/>
      <c r="G77" s="13">
        <f>IF(E77="","",E77)</f>
        <v/>
      </c>
      <c r="H77" s="16" t="n"/>
      <c r="I77" s="17">
        <f>IF(OR(E77="",H77=""),"",E77*H77)</f>
        <v/>
      </c>
      <c r="J77" s="9" t="n"/>
    </row>
    <row r="78">
      <c r="B78" s="11" t="n"/>
      <c r="C78" s="9" t="n"/>
      <c r="D78" s="9" t="n"/>
      <c r="E78" s="10" t="n"/>
      <c r="F78" s="10" t="n"/>
      <c r="G78" s="13">
        <f>IF(E78="","",E78)</f>
        <v/>
      </c>
      <c r="H78" s="16" t="n"/>
      <c r="I78" s="17">
        <f>IF(OR(E78="",H78=""),"",E78*H78)</f>
        <v/>
      </c>
      <c r="J78" s="9" t="n"/>
    </row>
    <row r="79">
      <c r="B79" s="11" t="n"/>
      <c r="C79" s="9" t="n"/>
      <c r="D79" s="9" t="n"/>
      <c r="E79" s="10" t="n"/>
      <c r="F79" s="10" t="n"/>
      <c r="G79" s="13">
        <f>IF(E79="","",E79)</f>
        <v/>
      </c>
      <c r="H79" s="16" t="n"/>
      <c r="I79" s="17">
        <f>IF(OR(E79="",H79=""),"",E79*H79)</f>
        <v/>
      </c>
      <c r="J79" s="9" t="n"/>
    </row>
    <row r="80">
      <c r="B80" s="11" t="n"/>
      <c r="C80" s="9" t="n"/>
      <c r="D80" s="9" t="n"/>
      <c r="E80" s="10" t="n"/>
      <c r="F80" s="10" t="n"/>
      <c r="G80" s="13">
        <f>IF(E80="","",E80)</f>
        <v/>
      </c>
      <c r="H80" s="16" t="n"/>
      <c r="I80" s="17">
        <f>IF(OR(E80="",H80=""),"",E80*H80)</f>
        <v/>
      </c>
      <c r="J80" s="9" t="n"/>
    </row>
    <row r="81">
      <c r="B81" s="11" t="n"/>
      <c r="C81" s="9" t="n"/>
      <c r="D81" s="9" t="n"/>
      <c r="E81" s="10" t="n"/>
      <c r="F81" s="10" t="n"/>
      <c r="G81" s="13">
        <f>IF(E81="","",E81)</f>
        <v/>
      </c>
      <c r="H81" s="16" t="n"/>
      <c r="I81" s="17">
        <f>IF(OR(E81="",H81=""),"",E81*H81)</f>
        <v/>
      </c>
      <c r="J81" s="9" t="n"/>
    </row>
    <row r="82">
      <c r="B82" s="11" t="n"/>
      <c r="C82" s="9" t="n"/>
      <c r="D82" s="9" t="n"/>
      <c r="E82" s="10" t="n"/>
      <c r="F82" s="10" t="n"/>
      <c r="G82" s="13">
        <f>IF(E82="","",E82)</f>
        <v/>
      </c>
      <c r="H82" s="16" t="n"/>
      <c r="I82" s="17">
        <f>IF(OR(E82="",H82=""),"",E82*H82)</f>
        <v/>
      </c>
      <c r="J82" s="9" t="n"/>
    </row>
    <row r="83">
      <c r="B83" s="11" t="n"/>
      <c r="C83" s="9" t="n"/>
      <c r="D83" s="9" t="n"/>
      <c r="E83" s="10" t="n"/>
      <c r="F83" s="10" t="n"/>
      <c r="G83" s="13">
        <f>IF(E83="","",E83)</f>
        <v/>
      </c>
      <c r="H83" s="16" t="n"/>
      <c r="I83" s="17">
        <f>IF(OR(E83="",H83=""),"",E83*H83)</f>
        <v/>
      </c>
      <c r="J83" s="9" t="n"/>
    </row>
    <row r="84">
      <c r="B84" s="11" t="n"/>
      <c r="C84" s="9" t="n"/>
      <c r="D84" s="9" t="n"/>
      <c r="E84" s="10" t="n"/>
      <c r="F84" s="10" t="n"/>
      <c r="G84" s="13">
        <f>IF(E84="","",E84)</f>
        <v/>
      </c>
      <c r="H84" s="16" t="n"/>
      <c r="I84" s="17">
        <f>IF(OR(E84="",H84=""),"",E84*H84)</f>
        <v/>
      </c>
      <c r="J84" s="9" t="n"/>
    </row>
    <row r="85">
      <c r="B85" s="11" t="n"/>
      <c r="C85" s="9" t="n"/>
      <c r="D85" s="9" t="n"/>
      <c r="E85" s="10" t="n"/>
      <c r="F85" s="10" t="n"/>
      <c r="G85" s="13">
        <f>IF(E85="","",E85)</f>
        <v/>
      </c>
      <c r="H85" s="16" t="n"/>
      <c r="I85" s="17">
        <f>IF(OR(E85="",H85=""),"",E85*H85)</f>
        <v/>
      </c>
      <c r="J85" s="9" t="n"/>
    </row>
    <row r="86">
      <c r="B86" s="11" t="n"/>
      <c r="C86" s="9" t="n"/>
      <c r="D86" s="9" t="n"/>
      <c r="E86" s="10" t="n"/>
      <c r="F86" s="10" t="n"/>
      <c r="G86" s="13">
        <f>IF(E86="","",E86)</f>
        <v/>
      </c>
      <c r="H86" s="16" t="n"/>
      <c r="I86" s="17">
        <f>IF(OR(E86="",H86=""),"",E86*H86)</f>
        <v/>
      </c>
      <c r="J86" s="9" t="n"/>
    </row>
    <row r="87">
      <c r="B87" s="11" t="n"/>
      <c r="C87" s="9" t="n"/>
      <c r="D87" s="9" t="n"/>
      <c r="E87" s="10" t="n"/>
      <c r="F87" s="10" t="n"/>
      <c r="G87" s="13">
        <f>IF(E87="","",E87)</f>
        <v/>
      </c>
      <c r="H87" s="16" t="n"/>
      <c r="I87" s="17">
        <f>IF(OR(E87="",H87=""),"",E87*H87)</f>
        <v/>
      </c>
      <c r="J87" s="9" t="n"/>
    </row>
    <row r="88">
      <c r="B88" s="11" t="n"/>
      <c r="C88" s="9" t="n"/>
      <c r="D88" s="9" t="n"/>
      <c r="E88" s="10" t="n"/>
      <c r="F88" s="10" t="n"/>
      <c r="G88" s="13">
        <f>IF(E88="","",E88)</f>
        <v/>
      </c>
      <c r="H88" s="16" t="n"/>
      <c r="I88" s="17">
        <f>IF(OR(E88="",H88=""),"",E88*H88)</f>
        <v/>
      </c>
      <c r="J88" s="9" t="n"/>
    </row>
    <row r="89">
      <c r="B89" s="11" t="n"/>
      <c r="C89" s="9" t="n"/>
      <c r="D89" s="9" t="n"/>
      <c r="E89" s="10" t="n"/>
      <c r="F89" s="10" t="n"/>
      <c r="G89" s="13">
        <f>IF(E89="","",E89)</f>
        <v/>
      </c>
      <c r="H89" s="16" t="n"/>
      <c r="I89" s="17">
        <f>IF(OR(E89="",H89=""),"",E89*H89)</f>
        <v/>
      </c>
      <c r="J89" s="9" t="n"/>
    </row>
    <row r="90">
      <c r="B90" s="11" t="n"/>
      <c r="C90" s="9" t="n"/>
      <c r="D90" s="9" t="n"/>
      <c r="E90" s="10" t="n"/>
      <c r="F90" s="10" t="n"/>
      <c r="G90" s="13">
        <f>IF(E90="","",E90)</f>
        <v/>
      </c>
      <c r="H90" s="16" t="n"/>
      <c r="I90" s="17">
        <f>IF(OR(E90="",H90=""),"",E90*H90)</f>
        <v/>
      </c>
      <c r="J90" s="9" t="n"/>
    </row>
    <row r="91">
      <c r="B91" s="11" t="n"/>
      <c r="C91" s="9" t="n"/>
      <c r="D91" s="9" t="n"/>
      <c r="E91" s="10" t="n"/>
      <c r="F91" s="10" t="n"/>
      <c r="G91" s="13">
        <f>IF(E91="","",E91)</f>
        <v/>
      </c>
      <c r="H91" s="16" t="n"/>
      <c r="I91" s="17">
        <f>IF(OR(E91="",H91=""),"",E91*H91)</f>
        <v/>
      </c>
      <c r="J91" s="9" t="n"/>
    </row>
    <row r="92">
      <c r="B92" s="11" t="n"/>
      <c r="C92" s="9" t="n"/>
      <c r="D92" s="9" t="n"/>
      <c r="E92" s="10" t="n"/>
      <c r="F92" s="10" t="n"/>
      <c r="G92" s="13">
        <f>IF(E92="","",E92)</f>
        <v/>
      </c>
      <c r="H92" s="16" t="n"/>
      <c r="I92" s="17">
        <f>IF(OR(E92="",H92=""),"",E92*H92)</f>
        <v/>
      </c>
      <c r="J92" s="9" t="n"/>
    </row>
    <row r="93">
      <c r="B93" s="11" t="n"/>
      <c r="C93" s="9" t="n"/>
      <c r="D93" s="9" t="n"/>
      <c r="E93" s="10" t="n"/>
      <c r="F93" s="10" t="n"/>
      <c r="G93" s="13">
        <f>IF(E93="","",E93)</f>
        <v/>
      </c>
      <c r="H93" s="16" t="n"/>
      <c r="I93" s="17">
        <f>IF(OR(E93="",H93=""),"",E93*H93)</f>
        <v/>
      </c>
      <c r="J93" s="9" t="n"/>
    </row>
    <row r="94">
      <c r="B94" s="11" t="n"/>
      <c r="C94" s="9" t="n"/>
      <c r="D94" s="9" t="n"/>
      <c r="E94" s="10" t="n"/>
      <c r="F94" s="10" t="n"/>
      <c r="G94" s="13">
        <f>IF(E94="","",E94)</f>
        <v/>
      </c>
      <c r="H94" s="16" t="n"/>
      <c r="I94" s="17">
        <f>IF(OR(E94="",H94=""),"",E94*H94)</f>
        <v/>
      </c>
      <c r="J94" s="9" t="n"/>
    </row>
    <row r="95">
      <c r="B95" s="11" t="n"/>
      <c r="C95" s="9" t="n"/>
      <c r="D95" s="9" t="n"/>
      <c r="E95" s="10" t="n"/>
      <c r="F95" s="10" t="n"/>
      <c r="G95" s="13">
        <f>IF(E95="","",E95)</f>
        <v/>
      </c>
      <c r="H95" s="16" t="n"/>
      <c r="I95" s="17">
        <f>IF(OR(E95="",H95=""),"",E95*H95)</f>
        <v/>
      </c>
      <c r="J95" s="9" t="n"/>
    </row>
    <row r="96">
      <c r="B96" s="11" t="n"/>
      <c r="C96" s="9" t="n"/>
      <c r="D96" s="9" t="n"/>
      <c r="E96" s="10" t="n"/>
      <c r="F96" s="10" t="n"/>
      <c r="G96" s="13">
        <f>IF(E96="","",E96)</f>
        <v/>
      </c>
      <c r="H96" s="16" t="n"/>
      <c r="I96" s="17">
        <f>IF(OR(E96="",H96=""),"",E96*H96)</f>
        <v/>
      </c>
      <c r="J96" s="9" t="n"/>
    </row>
    <row r="97">
      <c r="B97" s="11" t="n"/>
      <c r="C97" s="9" t="n"/>
      <c r="D97" s="9" t="n"/>
      <c r="E97" s="10" t="n"/>
      <c r="F97" s="10" t="n"/>
      <c r="G97" s="13">
        <f>IF(E97="","",E97)</f>
        <v/>
      </c>
      <c r="H97" s="16" t="n"/>
      <c r="I97" s="17">
        <f>IF(OR(E97="",H97=""),"",E97*H97)</f>
        <v/>
      </c>
      <c r="J97" s="9" t="n"/>
    </row>
    <row r="98">
      <c r="B98" s="11" t="n"/>
      <c r="C98" s="9" t="n"/>
      <c r="D98" s="9" t="n"/>
      <c r="E98" s="10" t="n"/>
      <c r="F98" s="10" t="n"/>
      <c r="G98" s="13">
        <f>IF(E98="","",E98)</f>
        <v/>
      </c>
      <c r="H98" s="16" t="n"/>
      <c r="I98" s="17">
        <f>IF(OR(E98="",H98=""),"",E98*H98)</f>
        <v/>
      </c>
      <c r="J98" s="9" t="n"/>
    </row>
    <row r="99">
      <c r="B99" s="11" t="n"/>
      <c r="C99" s="9" t="n"/>
      <c r="D99" s="9" t="n"/>
      <c r="E99" s="10" t="n"/>
      <c r="F99" s="10" t="n"/>
      <c r="G99" s="13">
        <f>IF(E99="","",E99)</f>
        <v/>
      </c>
      <c r="H99" s="16" t="n"/>
      <c r="I99" s="17">
        <f>IF(OR(E99="",H99=""),"",E99*H99)</f>
        <v/>
      </c>
      <c r="J99" s="9" t="n"/>
    </row>
    <row r="100">
      <c r="B100" s="11" t="n"/>
      <c r="C100" s="9" t="n"/>
      <c r="D100" s="9" t="n"/>
      <c r="E100" s="10" t="n"/>
      <c r="F100" s="10" t="n"/>
      <c r="G100" s="13">
        <f>IF(E100="","",E100)</f>
        <v/>
      </c>
      <c r="H100" s="16" t="n"/>
      <c r="I100" s="17">
        <f>IF(OR(E100="",H100=""),"",E100*H100)</f>
        <v/>
      </c>
      <c r="J100" s="9" t="n"/>
    </row>
    <row r="101">
      <c r="B101" s="11" t="n"/>
      <c r="C101" s="9" t="n"/>
      <c r="D101" s="9" t="n"/>
      <c r="E101" s="10" t="n"/>
      <c r="F101" s="10" t="n"/>
      <c r="G101" s="13">
        <f>IF(E101="","",E101)</f>
        <v/>
      </c>
      <c r="H101" s="16" t="n"/>
      <c r="I101" s="17">
        <f>IF(OR(E101="",H101=""),"",E101*H101)</f>
        <v/>
      </c>
      <c r="J101" s="9" t="n"/>
    </row>
    <row r="102">
      <c r="B102" s="11" t="n"/>
      <c r="C102" s="9" t="n"/>
      <c r="D102" s="9" t="n"/>
      <c r="E102" s="10" t="n"/>
      <c r="F102" s="10" t="n"/>
      <c r="G102" s="13">
        <f>IF(E102="","",E102)</f>
        <v/>
      </c>
      <c r="H102" s="16" t="n"/>
      <c r="I102" s="17">
        <f>IF(OR(E102="",H102=""),"",E102*H102)</f>
        <v/>
      </c>
      <c r="J102" s="9" t="n"/>
    </row>
    <row r="103">
      <c r="B103" s="11" t="n"/>
      <c r="C103" s="9" t="n"/>
      <c r="D103" s="9" t="n"/>
      <c r="E103" s="10" t="n"/>
      <c r="F103" s="10" t="n"/>
      <c r="G103" s="13">
        <f>IF(E103="","",E103)</f>
        <v/>
      </c>
      <c r="H103" s="16" t="n"/>
      <c r="I103" s="17">
        <f>IF(OR(E103="",H103=""),"",E103*H103)</f>
        <v/>
      </c>
      <c r="J103" s="9" t="n"/>
    </row>
    <row r="104">
      <c r="B104" s="11" t="n"/>
      <c r="C104" s="9" t="n"/>
      <c r="D104" s="9" t="n"/>
      <c r="E104" s="10" t="n"/>
      <c r="F104" s="10" t="n"/>
      <c r="G104" s="13">
        <f>IF(E104="","",E104)</f>
        <v/>
      </c>
      <c r="H104" s="16" t="n"/>
      <c r="I104" s="17">
        <f>IF(OR(E104="",H104=""),"",E104*H104)</f>
        <v/>
      </c>
      <c r="J104" s="9" t="n"/>
    </row>
    <row r="105">
      <c r="B105" s="11" t="n"/>
      <c r="C105" s="9" t="n"/>
      <c r="D105" s="9" t="n"/>
      <c r="E105" s="10" t="n"/>
      <c r="F105" s="10" t="n"/>
      <c r="G105" s="13">
        <f>IF(E105="","",E105)</f>
        <v/>
      </c>
      <c r="H105" s="16" t="n"/>
      <c r="I105" s="17">
        <f>IF(OR(E105="",H105=""),"",E105*H105)</f>
        <v/>
      </c>
      <c r="J105" s="9" t="n"/>
    </row>
    <row r="106">
      <c r="B106" s="11" t="n"/>
      <c r="C106" s="9" t="n"/>
      <c r="D106" s="9" t="n"/>
      <c r="E106" s="10" t="n"/>
      <c r="F106" s="10" t="n"/>
      <c r="G106" s="13">
        <f>IF(E106="","",E106)</f>
        <v/>
      </c>
      <c r="H106" s="16" t="n"/>
      <c r="I106" s="17">
        <f>IF(OR(E106="",H106=""),"",E106*H106)</f>
        <v/>
      </c>
      <c r="J106" s="9" t="n"/>
    </row>
    <row r="107">
      <c r="B107" s="11" t="n"/>
      <c r="C107" s="9" t="n"/>
      <c r="D107" s="9" t="n"/>
      <c r="E107" s="10" t="n"/>
      <c r="F107" s="10" t="n"/>
      <c r="G107" s="13">
        <f>IF(E107="","",E107)</f>
        <v/>
      </c>
      <c r="H107" s="16" t="n"/>
      <c r="I107" s="17">
        <f>IF(OR(E107="",H107=""),"",E107*H107)</f>
        <v/>
      </c>
      <c r="J107" s="9" t="n"/>
    </row>
    <row r="108">
      <c r="B108" s="11" t="n"/>
      <c r="C108" s="9" t="n"/>
      <c r="D108" s="9" t="n"/>
      <c r="E108" s="10" t="n"/>
      <c r="F108" s="10" t="n"/>
      <c r="G108" s="13">
        <f>IF(E108="","",E108)</f>
        <v/>
      </c>
      <c r="H108" s="16" t="n"/>
      <c r="I108" s="17">
        <f>IF(OR(E108="",H108=""),"",E108*H108)</f>
        <v/>
      </c>
      <c r="J108" s="9" t="n"/>
    </row>
    <row r="109">
      <c r="B109" s="11" t="n"/>
      <c r="C109" s="9" t="n"/>
      <c r="D109" s="9" t="n"/>
      <c r="E109" s="10" t="n"/>
      <c r="F109" s="10" t="n"/>
      <c r="G109" s="13">
        <f>IF(E109="","",E109)</f>
        <v/>
      </c>
      <c r="H109" s="16" t="n"/>
      <c r="I109" s="17">
        <f>IF(OR(E109="",H109=""),"",E109*H109)</f>
        <v/>
      </c>
      <c r="J109" s="9" t="n"/>
    </row>
    <row r="110">
      <c r="B110" s="11" t="n"/>
      <c r="C110" s="9" t="n"/>
      <c r="D110" s="9" t="n"/>
      <c r="E110" s="10" t="n"/>
      <c r="F110" s="10" t="n"/>
      <c r="G110" s="13">
        <f>IF(E110="","",E110)</f>
        <v/>
      </c>
      <c r="H110" s="16" t="n"/>
      <c r="I110" s="17">
        <f>IF(OR(E110="",H110=""),"",E110*H110)</f>
        <v/>
      </c>
      <c r="J110" s="9" t="n"/>
    </row>
    <row r="111">
      <c r="B111" s="11" t="n"/>
      <c r="C111" s="9" t="n"/>
      <c r="D111" s="9" t="n"/>
      <c r="E111" s="10" t="n"/>
      <c r="F111" s="10" t="n"/>
      <c r="G111" s="13">
        <f>IF(E111="","",E111)</f>
        <v/>
      </c>
      <c r="H111" s="16" t="n"/>
      <c r="I111" s="17">
        <f>IF(OR(E111="",H111=""),"",E111*H111)</f>
        <v/>
      </c>
      <c r="J111" s="9" t="n"/>
    </row>
    <row r="112">
      <c r="B112" s="11" t="n"/>
      <c r="C112" s="9" t="n"/>
      <c r="D112" s="9" t="n"/>
      <c r="E112" s="10" t="n"/>
      <c r="F112" s="10" t="n"/>
      <c r="G112" s="13">
        <f>IF(E112="","",E112)</f>
        <v/>
      </c>
      <c r="H112" s="16" t="n"/>
      <c r="I112" s="17">
        <f>IF(OR(E112="",H112=""),"",E112*H112)</f>
        <v/>
      </c>
      <c r="J112" s="9" t="n"/>
    </row>
    <row r="113">
      <c r="B113" s="11" t="n"/>
      <c r="C113" s="9" t="n"/>
      <c r="D113" s="9" t="n"/>
      <c r="E113" s="10" t="n"/>
      <c r="F113" s="10" t="n"/>
      <c r="G113" s="13">
        <f>IF(E113="","",E113)</f>
        <v/>
      </c>
      <c r="H113" s="16" t="n"/>
      <c r="I113" s="17">
        <f>IF(OR(E113="",H113=""),"",E113*H113)</f>
        <v/>
      </c>
      <c r="J113" s="9" t="n"/>
    </row>
    <row r="114">
      <c r="B114" s="11" t="n"/>
      <c r="C114" s="9" t="n"/>
      <c r="D114" s="9" t="n"/>
      <c r="E114" s="10" t="n"/>
      <c r="F114" s="10" t="n"/>
      <c r="G114" s="13">
        <f>IF(E114="","",E114)</f>
        <v/>
      </c>
      <c r="H114" s="16" t="n"/>
      <c r="I114" s="17">
        <f>IF(OR(E114="",H114=""),"",E114*H114)</f>
        <v/>
      </c>
      <c r="J114" s="9" t="n"/>
    </row>
    <row r="115">
      <c r="B115" s="11" t="n"/>
      <c r="C115" s="9" t="n"/>
      <c r="D115" s="9" t="n"/>
      <c r="E115" s="10" t="n"/>
      <c r="F115" s="10" t="n"/>
      <c r="G115" s="13">
        <f>IF(E115="","",E115)</f>
        <v/>
      </c>
      <c r="H115" s="16" t="n"/>
      <c r="I115" s="17">
        <f>IF(OR(E115="",H115=""),"",E115*H115)</f>
        <v/>
      </c>
      <c r="J115" s="9" t="n"/>
    </row>
    <row r="116">
      <c r="B116" s="11" t="n"/>
      <c r="C116" s="9" t="n"/>
      <c r="D116" s="9" t="n"/>
      <c r="E116" s="10" t="n"/>
      <c r="F116" s="10" t="n"/>
      <c r="G116" s="13">
        <f>IF(E116="","",E116)</f>
        <v/>
      </c>
      <c r="H116" s="16" t="n"/>
      <c r="I116" s="17">
        <f>IF(OR(E116="",H116=""),"",E116*H116)</f>
        <v/>
      </c>
      <c r="J116" s="9" t="n"/>
    </row>
    <row r="117">
      <c r="B117" s="11" t="n"/>
      <c r="C117" s="9" t="n"/>
      <c r="D117" s="9" t="n"/>
      <c r="E117" s="10" t="n"/>
      <c r="F117" s="10" t="n"/>
      <c r="G117" s="13">
        <f>IF(E117="","",E117)</f>
        <v/>
      </c>
      <c r="H117" s="16" t="n"/>
      <c r="I117" s="17">
        <f>IF(OR(E117="",H117=""),"",E117*H117)</f>
        <v/>
      </c>
      <c r="J117" s="9" t="n"/>
    </row>
    <row r="118">
      <c r="B118" s="11" t="n"/>
      <c r="C118" s="9" t="n"/>
      <c r="D118" s="9" t="n"/>
      <c r="E118" s="10" t="n"/>
      <c r="F118" s="10" t="n"/>
      <c r="G118" s="13">
        <f>IF(E118="","",E118)</f>
        <v/>
      </c>
      <c r="H118" s="16" t="n"/>
      <c r="I118" s="17">
        <f>IF(OR(E118="",H118=""),"",E118*H118)</f>
        <v/>
      </c>
      <c r="J118" s="9" t="n"/>
    </row>
    <row r="119">
      <c r="B119" s="11" t="n"/>
      <c r="C119" s="9" t="n"/>
      <c r="D119" s="9" t="n"/>
      <c r="E119" s="10" t="n"/>
      <c r="F119" s="10" t="n"/>
      <c r="G119" s="13">
        <f>IF(E119="","",E119)</f>
        <v/>
      </c>
      <c r="H119" s="16" t="n"/>
      <c r="I119" s="17">
        <f>IF(OR(E119="",H119=""),"",E119*H119)</f>
        <v/>
      </c>
      <c r="J119" s="9" t="n"/>
    </row>
    <row r="120">
      <c r="B120" s="11" t="n"/>
      <c r="C120" s="9" t="n"/>
      <c r="D120" s="9" t="n"/>
      <c r="E120" s="10" t="n"/>
      <c r="F120" s="10" t="n"/>
      <c r="G120" s="13">
        <f>IF(E120="","",E120)</f>
        <v/>
      </c>
      <c r="H120" s="16" t="n"/>
      <c r="I120" s="17">
        <f>IF(OR(E120="",H120=""),"",E120*H120)</f>
        <v/>
      </c>
      <c r="J120" s="9" t="n"/>
    </row>
    <row r="121">
      <c r="B121" s="11" t="n"/>
      <c r="C121" s="9" t="n"/>
      <c r="D121" s="9" t="n"/>
      <c r="E121" s="10" t="n"/>
      <c r="F121" s="10" t="n"/>
      <c r="G121" s="13">
        <f>IF(E121="","",E121)</f>
        <v/>
      </c>
      <c r="H121" s="16" t="n"/>
      <c r="I121" s="17">
        <f>IF(OR(E121="",H121=""),"",E121*H121)</f>
        <v/>
      </c>
      <c r="J121" s="9" t="n"/>
    </row>
    <row r="122">
      <c r="B122" s="11" t="n"/>
      <c r="C122" s="9" t="n"/>
      <c r="D122" s="9" t="n"/>
      <c r="E122" s="10" t="n"/>
      <c r="F122" s="10" t="n"/>
      <c r="G122" s="13">
        <f>IF(E122="","",E122)</f>
        <v/>
      </c>
      <c r="H122" s="16" t="n"/>
      <c r="I122" s="17">
        <f>IF(OR(E122="",H122=""),"",E122*H122)</f>
        <v/>
      </c>
      <c r="J122" s="9" t="n"/>
    </row>
    <row r="123">
      <c r="B123" s="11" t="n"/>
      <c r="C123" s="9" t="n"/>
      <c r="D123" s="9" t="n"/>
      <c r="E123" s="10" t="n"/>
      <c r="F123" s="10" t="n"/>
      <c r="G123" s="13">
        <f>IF(E123="","",E123)</f>
        <v/>
      </c>
      <c r="H123" s="16" t="n"/>
      <c r="I123" s="17">
        <f>IF(OR(E123="",H123=""),"",E123*H123)</f>
        <v/>
      </c>
      <c r="J123" s="9" t="n"/>
    </row>
    <row r="124">
      <c r="B124" s="11" t="n"/>
      <c r="C124" s="9" t="n"/>
      <c r="D124" s="9" t="n"/>
      <c r="E124" s="10" t="n"/>
      <c r="F124" s="10" t="n"/>
      <c r="G124" s="13">
        <f>IF(E124="","",E124)</f>
        <v/>
      </c>
      <c r="H124" s="16" t="n"/>
      <c r="I124" s="17">
        <f>IF(OR(E124="",H124=""),"",E124*H124)</f>
        <v/>
      </c>
      <c r="J124" s="9" t="n"/>
    </row>
    <row r="125">
      <c r="B125" s="11" t="n"/>
      <c r="C125" s="9" t="n"/>
      <c r="D125" s="9" t="n"/>
      <c r="E125" s="10" t="n"/>
      <c r="F125" s="10" t="n"/>
      <c r="G125" s="13">
        <f>IF(E125="","",E125)</f>
        <v/>
      </c>
      <c r="H125" s="16" t="n"/>
      <c r="I125" s="17">
        <f>IF(OR(E125="",H125=""),"",E125*H125)</f>
        <v/>
      </c>
      <c r="J125" s="9" t="n"/>
    </row>
    <row r="126">
      <c r="B126" s="11" t="n"/>
      <c r="C126" s="9" t="n"/>
      <c r="D126" s="9" t="n"/>
      <c r="E126" s="10" t="n"/>
      <c r="F126" s="10" t="n"/>
      <c r="G126" s="13">
        <f>IF(E126="","",E126)</f>
        <v/>
      </c>
      <c r="H126" s="16" t="n"/>
      <c r="I126" s="17">
        <f>IF(OR(E126="",H126=""),"",E126*H126)</f>
        <v/>
      </c>
      <c r="J126" s="9" t="n"/>
    </row>
    <row r="127">
      <c r="B127" s="11" t="n"/>
      <c r="C127" s="9" t="n"/>
      <c r="D127" s="9" t="n"/>
      <c r="E127" s="10" t="n"/>
      <c r="F127" s="10" t="n"/>
      <c r="G127" s="13">
        <f>IF(E127="","",E127)</f>
        <v/>
      </c>
      <c r="H127" s="16" t="n"/>
      <c r="I127" s="17">
        <f>IF(OR(E127="",H127=""),"",E127*H127)</f>
        <v/>
      </c>
      <c r="J127" s="9" t="n"/>
    </row>
    <row r="128">
      <c r="B128" s="11" t="n"/>
      <c r="C128" s="9" t="n"/>
      <c r="D128" s="9" t="n"/>
      <c r="E128" s="10" t="n"/>
      <c r="F128" s="10" t="n"/>
      <c r="G128" s="13">
        <f>IF(E128="","",E128)</f>
        <v/>
      </c>
      <c r="H128" s="16" t="n"/>
      <c r="I128" s="17">
        <f>IF(OR(E128="",H128=""),"",E128*H128)</f>
        <v/>
      </c>
      <c r="J128" s="9" t="n"/>
    </row>
    <row r="129">
      <c r="B129" s="11" t="n"/>
      <c r="C129" s="9" t="n"/>
      <c r="D129" s="9" t="n"/>
      <c r="E129" s="10" t="n"/>
      <c r="F129" s="10" t="n"/>
      <c r="G129" s="13">
        <f>IF(E129="","",E129)</f>
        <v/>
      </c>
      <c r="H129" s="16" t="n"/>
      <c r="I129" s="17">
        <f>IF(OR(E129="",H129=""),"",E129*H129)</f>
        <v/>
      </c>
      <c r="J129" s="9" t="n"/>
    </row>
    <row r="130">
      <c r="B130" s="11" t="n"/>
      <c r="C130" s="9" t="n"/>
      <c r="D130" s="9" t="n"/>
      <c r="E130" s="10" t="n"/>
      <c r="F130" s="10" t="n"/>
      <c r="G130" s="13">
        <f>IF(E130="","",E130)</f>
        <v/>
      </c>
      <c r="H130" s="16" t="n"/>
      <c r="I130" s="17">
        <f>IF(OR(E130="",H130=""),"",E130*H130)</f>
        <v/>
      </c>
      <c r="J130" s="9" t="n"/>
    </row>
    <row r="131">
      <c r="B131" s="11" t="n"/>
      <c r="C131" s="9" t="n"/>
      <c r="D131" s="9" t="n"/>
      <c r="E131" s="10" t="n"/>
      <c r="F131" s="10" t="n"/>
      <c r="G131" s="13">
        <f>IF(E131="","",E131)</f>
        <v/>
      </c>
      <c r="H131" s="16" t="n"/>
      <c r="I131" s="17">
        <f>IF(OR(E131="",H131=""),"",E131*H131)</f>
        <v/>
      </c>
      <c r="J131" s="9" t="n"/>
    </row>
    <row r="132">
      <c r="B132" s="11" t="n"/>
      <c r="C132" s="9" t="n"/>
      <c r="D132" s="9" t="n"/>
      <c r="E132" s="10" t="n"/>
      <c r="F132" s="10" t="n"/>
      <c r="G132" s="13">
        <f>IF(E132="","",E132)</f>
        <v/>
      </c>
      <c r="H132" s="16" t="n"/>
      <c r="I132" s="17">
        <f>IF(OR(E132="",H132=""),"",E132*H132)</f>
        <v/>
      </c>
      <c r="J132" s="9" t="n"/>
    </row>
    <row r="133">
      <c r="B133" s="11" t="n"/>
      <c r="C133" s="9" t="n"/>
      <c r="D133" s="9" t="n"/>
      <c r="E133" s="10" t="n"/>
      <c r="F133" s="10" t="n"/>
      <c r="G133" s="13">
        <f>IF(E133="","",E133)</f>
        <v/>
      </c>
      <c r="H133" s="16" t="n"/>
      <c r="I133" s="17">
        <f>IF(OR(E133="",H133=""),"",E133*H133)</f>
        <v/>
      </c>
      <c r="J133" s="9" t="n"/>
    </row>
    <row r="134">
      <c r="B134" s="11" t="n"/>
      <c r="C134" s="9" t="n"/>
      <c r="D134" s="9" t="n"/>
      <c r="E134" s="10" t="n"/>
      <c r="F134" s="10" t="n"/>
      <c r="G134" s="13">
        <f>IF(E134="","",E134)</f>
        <v/>
      </c>
      <c r="H134" s="16" t="n"/>
      <c r="I134" s="17">
        <f>IF(OR(E134="",H134=""),"",E134*H134)</f>
        <v/>
      </c>
      <c r="J134" s="9" t="n"/>
    </row>
    <row r="135">
      <c r="B135" s="11" t="n"/>
      <c r="C135" s="9" t="n"/>
      <c r="D135" s="9" t="n"/>
      <c r="E135" s="10" t="n"/>
      <c r="F135" s="10" t="n"/>
      <c r="G135" s="13">
        <f>IF(E135="","",E135)</f>
        <v/>
      </c>
      <c r="H135" s="16" t="n"/>
      <c r="I135" s="17">
        <f>IF(OR(E135="",H135=""),"",E135*H135)</f>
        <v/>
      </c>
      <c r="J135" s="9" t="n"/>
    </row>
    <row r="136">
      <c r="B136" s="11" t="n"/>
      <c r="C136" s="9" t="n"/>
      <c r="D136" s="9" t="n"/>
      <c r="E136" s="10" t="n"/>
      <c r="F136" s="10" t="n"/>
      <c r="G136" s="13">
        <f>IF(E136="","",E136)</f>
        <v/>
      </c>
      <c r="H136" s="16" t="n"/>
      <c r="I136" s="17">
        <f>IF(OR(E136="",H136=""),"",E136*H136)</f>
        <v/>
      </c>
      <c r="J136" s="9" t="n"/>
    </row>
    <row r="137">
      <c r="B137" s="11" t="n"/>
      <c r="C137" s="9" t="n"/>
      <c r="D137" s="9" t="n"/>
      <c r="E137" s="10" t="n"/>
      <c r="F137" s="10" t="n"/>
      <c r="G137" s="13">
        <f>IF(E137="","",E137)</f>
        <v/>
      </c>
      <c r="H137" s="16" t="n"/>
      <c r="I137" s="17">
        <f>IF(OR(E137="",H137=""),"",E137*H137)</f>
        <v/>
      </c>
      <c r="J137" s="9" t="n"/>
    </row>
    <row r="138">
      <c r="B138" s="11" t="n"/>
      <c r="C138" s="9" t="n"/>
      <c r="D138" s="9" t="n"/>
      <c r="E138" s="10" t="n"/>
      <c r="F138" s="10" t="n"/>
      <c r="G138" s="13">
        <f>IF(E138="","",E138)</f>
        <v/>
      </c>
      <c r="H138" s="16" t="n"/>
      <c r="I138" s="17">
        <f>IF(OR(E138="",H138=""),"",E138*H138)</f>
        <v/>
      </c>
      <c r="J138" s="9" t="n"/>
    </row>
    <row r="139">
      <c r="B139" s="11" t="n"/>
      <c r="C139" s="9" t="n"/>
      <c r="D139" s="9" t="n"/>
      <c r="E139" s="10" t="n"/>
      <c r="F139" s="10" t="n"/>
      <c r="G139" s="13">
        <f>IF(E139="","",E139)</f>
        <v/>
      </c>
      <c r="H139" s="16" t="n"/>
      <c r="I139" s="17">
        <f>IF(OR(E139="",H139=""),"",E139*H139)</f>
        <v/>
      </c>
      <c r="J139" s="9" t="n"/>
    </row>
    <row r="140">
      <c r="B140" s="11" t="n"/>
      <c r="C140" s="9" t="n"/>
      <c r="D140" s="9" t="n"/>
      <c r="E140" s="10" t="n"/>
      <c r="F140" s="10" t="n"/>
      <c r="G140" s="13">
        <f>IF(E140="","",E140)</f>
        <v/>
      </c>
      <c r="H140" s="16" t="n"/>
      <c r="I140" s="17">
        <f>IF(OR(E140="",H140=""),"",E140*H140)</f>
        <v/>
      </c>
      <c r="J140" s="9" t="n"/>
    </row>
    <row r="141">
      <c r="B141" s="11" t="n"/>
      <c r="C141" s="9" t="n"/>
      <c r="D141" s="9" t="n"/>
      <c r="E141" s="10" t="n"/>
      <c r="F141" s="10" t="n"/>
      <c r="G141" s="13">
        <f>IF(E141="","",E141)</f>
        <v/>
      </c>
      <c r="H141" s="16" t="n"/>
      <c r="I141" s="17">
        <f>IF(OR(E141="",H141=""),"",E141*H141)</f>
        <v/>
      </c>
      <c r="J141" s="9" t="n"/>
    </row>
    <row r="142">
      <c r="B142" s="11" t="n"/>
      <c r="C142" s="9" t="n"/>
      <c r="D142" s="9" t="n"/>
      <c r="E142" s="10" t="n"/>
      <c r="F142" s="10" t="n"/>
      <c r="G142" s="13">
        <f>IF(E142="","",E142)</f>
        <v/>
      </c>
      <c r="H142" s="16" t="n"/>
      <c r="I142" s="17">
        <f>IF(OR(E142="",H142=""),"",E142*H142)</f>
        <v/>
      </c>
      <c r="J142" s="9" t="n"/>
    </row>
    <row r="143">
      <c r="B143" s="11" t="n"/>
      <c r="C143" s="9" t="n"/>
      <c r="D143" s="9" t="n"/>
      <c r="E143" s="10" t="n"/>
      <c r="F143" s="10" t="n"/>
      <c r="G143" s="13">
        <f>IF(E143="","",E143)</f>
        <v/>
      </c>
      <c r="H143" s="16" t="n"/>
      <c r="I143" s="17">
        <f>IF(OR(E143="",H143=""),"",E143*H143)</f>
        <v/>
      </c>
      <c r="J143" s="9" t="n"/>
    </row>
    <row r="144">
      <c r="B144" s="11" t="n"/>
      <c r="C144" s="9" t="n"/>
      <c r="D144" s="9" t="n"/>
      <c r="E144" s="10" t="n"/>
      <c r="F144" s="10" t="n"/>
      <c r="G144" s="13">
        <f>IF(E144="","",E144)</f>
        <v/>
      </c>
      <c r="H144" s="16" t="n"/>
      <c r="I144" s="17">
        <f>IF(OR(E144="",H144=""),"",E144*H144)</f>
        <v/>
      </c>
      <c r="J144" s="9" t="n"/>
    </row>
    <row r="145">
      <c r="B145" s="11" t="n"/>
      <c r="C145" s="9" t="n"/>
      <c r="D145" s="9" t="n"/>
      <c r="E145" s="10" t="n"/>
      <c r="F145" s="10" t="n"/>
      <c r="G145" s="13">
        <f>IF(E145="","",E145)</f>
        <v/>
      </c>
      <c r="H145" s="16" t="n"/>
      <c r="I145" s="17">
        <f>IF(OR(E145="",H145=""),"",E145*H145)</f>
        <v/>
      </c>
      <c r="J145" s="9" t="n"/>
    </row>
    <row r="146">
      <c r="B146" s="11" t="n"/>
      <c r="C146" s="9" t="n"/>
      <c r="D146" s="9" t="n"/>
      <c r="E146" s="10" t="n"/>
      <c r="F146" s="10" t="n"/>
      <c r="G146" s="13">
        <f>IF(E146="","",E146)</f>
        <v/>
      </c>
      <c r="H146" s="16" t="n"/>
      <c r="I146" s="17">
        <f>IF(OR(E146="",H146=""),"",E146*H146)</f>
        <v/>
      </c>
      <c r="J146" s="9" t="n"/>
    </row>
    <row r="147">
      <c r="B147" s="11" t="n"/>
      <c r="C147" s="9" t="n"/>
      <c r="D147" s="9" t="n"/>
      <c r="E147" s="10" t="n"/>
      <c r="F147" s="10" t="n"/>
      <c r="G147" s="13">
        <f>IF(E147="","",E147)</f>
        <v/>
      </c>
      <c r="H147" s="16" t="n"/>
      <c r="I147" s="17">
        <f>IF(OR(E147="",H147=""),"",E147*H147)</f>
        <v/>
      </c>
      <c r="J147" s="9" t="n"/>
    </row>
    <row r="148">
      <c r="B148" s="11" t="n"/>
      <c r="C148" s="9" t="n"/>
      <c r="D148" s="9" t="n"/>
      <c r="E148" s="10" t="n"/>
      <c r="F148" s="10" t="n"/>
      <c r="G148" s="13">
        <f>IF(E148="","",E148)</f>
        <v/>
      </c>
      <c r="H148" s="16" t="n"/>
      <c r="I148" s="17">
        <f>IF(OR(E148="",H148=""),"",E148*H148)</f>
        <v/>
      </c>
      <c r="J148" s="9" t="n"/>
    </row>
    <row r="149">
      <c r="B149" s="11" t="n"/>
      <c r="C149" s="9" t="n"/>
      <c r="D149" s="9" t="n"/>
      <c r="E149" s="10" t="n"/>
      <c r="F149" s="10" t="n"/>
      <c r="G149" s="13">
        <f>IF(E149="","",E149)</f>
        <v/>
      </c>
      <c r="H149" s="16" t="n"/>
      <c r="I149" s="17">
        <f>IF(OR(E149="",H149=""),"",E149*H149)</f>
        <v/>
      </c>
      <c r="J149" s="9" t="n"/>
    </row>
    <row r="150">
      <c r="B150" s="11" t="n"/>
      <c r="C150" s="9" t="n"/>
      <c r="D150" s="9" t="n"/>
      <c r="E150" s="10" t="n"/>
      <c r="F150" s="10" t="n"/>
      <c r="G150" s="13">
        <f>IF(E150="","",E150)</f>
        <v/>
      </c>
      <c r="H150" s="16" t="n"/>
      <c r="I150" s="17">
        <f>IF(OR(E150="",H150=""),"",E150*H150)</f>
        <v/>
      </c>
      <c r="J150" s="9" t="n"/>
    </row>
    <row r="151">
      <c r="B151" s="11" t="n"/>
      <c r="C151" s="9" t="n"/>
      <c r="D151" s="9" t="n"/>
      <c r="E151" s="10" t="n"/>
      <c r="F151" s="10" t="n"/>
      <c r="G151" s="13">
        <f>IF(E151="","",E151)</f>
        <v/>
      </c>
      <c r="H151" s="16" t="n"/>
      <c r="I151" s="17">
        <f>IF(OR(E151="",H151=""),"",E151*H151)</f>
        <v/>
      </c>
      <c r="J151" s="9" t="n"/>
    </row>
    <row r="152">
      <c r="B152" s="11" t="n"/>
      <c r="C152" s="9" t="n"/>
      <c r="D152" s="9" t="n"/>
      <c r="E152" s="10" t="n"/>
      <c r="F152" s="10" t="n"/>
      <c r="G152" s="13">
        <f>IF(E152="","",E152)</f>
        <v/>
      </c>
      <c r="H152" s="16" t="n"/>
      <c r="I152" s="17">
        <f>IF(OR(E152="",H152=""),"",E152*H152)</f>
        <v/>
      </c>
      <c r="J152" s="9" t="n"/>
    </row>
    <row r="153">
      <c r="B153" s="11" t="n"/>
      <c r="C153" s="9" t="n"/>
      <c r="D153" s="9" t="n"/>
      <c r="E153" s="10" t="n"/>
      <c r="F153" s="10" t="n"/>
      <c r="G153" s="13">
        <f>IF(E153="","",E153)</f>
        <v/>
      </c>
      <c r="H153" s="16" t="n"/>
      <c r="I153" s="17">
        <f>IF(OR(E153="",H153=""),"",E153*H153)</f>
        <v/>
      </c>
      <c r="J153" s="9" t="n"/>
    </row>
    <row r="154">
      <c r="B154" s="11" t="n"/>
      <c r="C154" s="9" t="n"/>
      <c r="D154" s="9" t="n"/>
      <c r="E154" s="10" t="n"/>
      <c r="F154" s="10" t="n"/>
      <c r="G154" s="13">
        <f>IF(E154="","",E154)</f>
        <v/>
      </c>
      <c r="H154" s="16" t="n"/>
      <c r="I154" s="17">
        <f>IF(OR(E154="",H154=""),"",E154*H154)</f>
        <v/>
      </c>
      <c r="J154" s="9" t="n"/>
    </row>
    <row r="155">
      <c r="B155" s="11" t="n"/>
      <c r="C155" s="9" t="n"/>
      <c r="D155" s="9" t="n"/>
      <c r="E155" s="10" t="n"/>
      <c r="F155" s="10" t="n"/>
      <c r="G155" s="13">
        <f>IF(E155="","",E155)</f>
        <v/>
      </c>
      <c r="H155" s="16" t="n"/>
      <c r="I155" s="17">
        <f>IF(OR(E155="",H155=""),"",E155*H155)</f>
        <v/>
      </c>
      <c r="J155" s="9" t="n"/>
    </row>
    <row r="156">
      <c r="B156" s="11" t="n"/>
      <c r="C156" s="9" t="n"/>
      <c r="D156" s="9" t="n"/>
      <c r="E156" s="10" t="n"/>
      <c r="F156" s="10" t="n"/>
      <c r="G156" s="13">
        <f>IF(E156="","",E156)</f>
        <v/>
      </c>
      <c r="H156" s="16" t="n"/>
      <c r="I156" s="17">
        <f>IF(OR(E156="",H156=""),"",E156*H156)</f>
        <v/>
      </c>
      <c r="J156" s="9" t="n"/>
    </row>
    <row r="157">
      <c r="B157" s="11" t="n"/>
      <c r="C157" s="9" t="n"/>
      <c r="D157" s="9" t="n"/>
      <c r="E157" s="10" t="n"/>
      <c r="F157" s="10" t="n"/>
      <c r="G157" s="13">
        <f>IF(E157="","",E157)</f>
        <v/>
      </c>
      <c r="H157" s="16" t="n"/>
      <c r="I157" s="17">
        <f>IF(OR(E157="",H157=""),"",E157*H157)</f>
        <v/>
      </c>
      <c r="J157" s="9" t="n"/>
    </row>
    <row r="158">
      <c r="B158" s="11" t="n"/>
      <c r="C158" s="9" t="n"/>
      <c r="D158" s="9" t="n"/>
      <c r="E158" s="10" t="n"/>
      <c r="F158" s="10" t="n"/>
      <c r="G158" s="13">
        <f>IF(E158="","",E158)</f>
        <v/>
      </c>
      <c r="H158" s="16" t="n"/>
      <c r="I158" s="17">
        <f>IF(OR(E158="",H158=""),"",E158*H158)</f>
        <v/>
      </c>
      <c r="J158" s="9" t="n"/>
    </row>
    <row r="159">
      <c r="B159" s="11" t="n"/>
      <c r="C159" s="9" t="n"/>
      <c r="D159" s="9" t="n"/>
      <c r="E159" s="10" t="n"/>
      <c r="F159" s="10" t="n"/>
      <c r="G159" s="13">
        <f>IF(E159="","",E159)</f>
        <v/>
      </c>
      <c r="H159" s="16" t="n"/>
      <c r="I159" s="17">
        <f>IF(OR(E159="",H159=""),"",E159*H159)</f>
        <v/>
      </c>
      <c r="J159" s="9" t="n"/>
    </row>
    <row r="160">
      <c r="B160" s="11" t="n"/>
      <c r="C160" s="9" t="n"/>
      <c r="D160" s="9" t="n"/>
      <c r="E160" s="10" t="n"/>
      <c r="F160" s="10" t="n"/>
      <c r="G160" s="13">
        <f>IF(E160="","",E160)</f>
        <v/>
      </c>
      <c r="H160" s="16" t="n"/>
      <c r="I160" s="17">
        <f>IF(OR(E160="",H160=""),"",E160*H160)</f>
        <v/>
      </c>
      <c r="J160" s="9" t="n"/>
    </row>
    <row r="161">
      <c r="B161" s="11" t="n"/>
      <c r="C161" s="9" t="n"/>
      <c r="D161" s="9" t="n"/>
      <c r="E161" s="10" t="n"/>
      <c r="F161" s="10" t="n"/>
      <c r="G161" s="13">
        <f>IF(E161="","",E161)</f>
        <v/>
      </c>
      <c r="H161" s="16" t="n"/>
      <c r="I161" s="17">
        <f>IF(OR(E161="",H161=""),"",E161*H161)</f>
        <v/>
      </c>
      <c r="J161" s="9" t="n"/>
    </row>
    <row r="162">
      <c r="B162" s="11" t="n"/>
      <c r="C162" s="9" t="n"/>
      <c r="D162" s="9" t="n"/>
      <c r="E162" s="10" t="n"/>
      <c r="F162" s="10" t="n"/>
      <c r="G162" s="13">
        <f>IF(E162="","",E162)</f>
        <v/>
      </c>
      <c r="H162" s="16" t="n"/>
      <c r="I162" s="17">
        <f>IF(OR(E162="",H162=""),"",E162*H162)</f>
        <v/>
      </c>
      <c r="J162" s="9" t="n"/>
    </row>
    <row r="163">
      <c r="B163" s="11" t="n"/>
      <c r="C163" s="9" t="n"/>
      <c r="D163" s="9" t="n"/>
      <c r="E163" s="10" t="n"/>
      <c r="F163" s="10" t="n"/>
      <c r="G163" s="13">
        <f>IF(E163="","",E163)</f>
        <v/>
      </c>
      <c r="H163" s="16" t="n"/>
      <c r="I163" s="17">
        <f>IF(OR(E163="",H163=""),"",E163*H163)</f>
        <v/>
      </c>
      <c r="J163" s="9" t="n"/>
    </row>
    <row r="164">
      <c r="B164" s="11" t="n"/>
      <c r="C164" s="9" t="n"/>
      <c r="D164" s="9" t="n"/>
      <c r="E164" s="10" t="n"/>
      <c r="F164" s="10" t="n"/>
      <c r="G164" s="13">
        <f>IF(E164="","",E164)</f>
        <v/>
      </c>
      <c r="H164" s="16" t="n"/>
      <c r="I164" s="17">
        <f>IF(OR(E164="",H164=""),"",E164*H164)</f>
        <v/>
      </c>
      <c r="J164" s="9" t="n"/>
    </row>
    <row r="165">
      <c r="B165" s="11" t="n"/>
      <c r="C165" s="9" t="n"/>
      <c r="D165" s="9" t="n"/>
      <c r="E165" s="10" t="n"/>
      <c r="F165" s="10" t="n"/>
      <c r="G165" s="13">
        <f>IF(E165="","",E165)</f>
        <v/>
      </c>
      <c r="H165" s="16" t="n"/>
      <c r="I165" s="17">
        <f>IF(OR(E165="",H165=""),"",E165*H165)</f>
        <v/>
      </c>
      <c r="J165" s="9" t="n"/>
    </row>
    <row r="166">
      <c r="B166" s="11" t="n"/>
      <c r="C166" s="9" t="n"/>
      <c r="D166" s="9" t="n"/>
      <c r="E166" s="10" t="n"/>
      <c r="F166" s="10" t="n"/>
      <c r="G166" s="13">
        <f>IF(E166="","",E166)</f>
        <v/>
      </c>
      <c r="H166" s="16" t="n"/>
      <c r="I166" s="17">
        <f>IF(OR(E166="",H166=""),"",E166*H166)</f>
        <v/>
      </c>
      <c r="J166" s="9" t="n"/>
    </row>
    <row r="167">
      <c r="B167" s="11" t="n"/>
      <c r="C167" s="9" t="n"/>
      <c r="D167" s="9" t="n"/>
      <c r="E167" s="10" t="n"/>
      <c r="F167" s="10" t="n"/>
      <c r="G167" s="13">
        <f>IF(E167="","",E167)</f>
        <v/>
      </c>
      <c r="H167" s="16" t="n"/>
      <c r="I167" s="17">
        <f>IF(OR(E167="",H167=""),"",E167*H167)</f>
        <v/>
      </c>
      <c r="J167" s="9" t="n"/>
    </row>
    <row r="168">
      <c r="B168" s="11" t="n"/>
      <c r="C168" s="9" t="n"/>
      <c r="D168" s="9" t="n"/>
      <c r="E168" s="10" t="n"/>
      <c r="F168" s="10" t="n"/>
      <c r="G168" s="13">
        <f>IF(E168="","",E168)</f>
        <v/>
      </c>
      <c r="H168" s="16" t="n"/>
      <c r="I168" s="17">
        <f>IF(OR(E168="",H168=""),"",E168*H168)</f>
        <v/>
      </c>
      <c r="J168" s="9" t="n"/>
    </row>
    <row r="169">
      <c r="B169" s="11" t="n"/>
      <c r="C169" s="9" t="n"/>
      <c r="D169" s="9" t="n"/>
      <c r="E169" s="10" t="n"/>
      <c r="F169" s="10" t="n"/>
      <c r="G169" s="13">
        <f>IF(E169="","",E169)</f>
        <v/>
      </c>
      <c r="H169" s="16" t="n"/>
      <c r="I169" s="17">
        <f>IF(OR(E169="",H169=""),"",E169*H169)</f>
        <v/>
      </c>
      <c r="J169" s="9" t="n"/>
    </row>
    <row r="170">
      <c r="B170" s="11" t="n"/>
      <c r="C170" s="9" t="n"/>
      <c r="D170" s="9" t="n"/>
      <c r="E170" s="10" t="n"/>
      <c r="F170" s="10" t="n"/>
      <c r="G170" s="13">
        <f>IF(E170="","",E170)</f>
        <v/>
      </c>
      <c r="H170" s="16" t="n"/>
      <c r="I170" s="17">
        <f>IF(OR(E170="",H170=""),"",E170*H170)</f>
        <v/>
      </c>
      <c r="J170" s="9" t="n"/>
    </row>
    <row r="171">
      <c r="B171" s="11" t="n"/>
      <c r="C171" s="9" t="n"/>
      <c r="D171" s="9" t="n"/>
      <c r="E171" s="10" t="n"/>
      <c r="F171" s="10" t="n"/>
      <c r="G171" s="13">
        <f>IF(E171="","",E171)</f>
        <v/>
      </c>
      <c r="H171" s="16" t="n"/>
      <c r="I171" s="17">
        <f>IF(OR(E171="",H171=""),"",E171*H171)</f>
        <v/>
      </c>
      <c r="J171" s="9" t="n"/>
    </row>
    <row r="172">
      <c r="B172" s="11" t="n"/>
      <c r="C172" s="9" t="n"/>
      <c r="D172" s="9" t="n"/>
      <c r="E172" s="10" t="n"/>
      <c r="F172" s="10" t="n"/>
      <c r="G172" s="13">
        <f>IF(E172="","",E172)</f>
        <v/>
      </c>
      <c r="H172" s="16" t="n"/>
      <c r="I172" s="17">
        <f>IF(OR(E172="",H172=""),"",E172*H172)</f>
        <v/>
      </c>
      <c r="J172" s="9" t="n"/>
    </row>
    <row r="173">
      <c r="B173" s="11" t="n"/>
      <c r="C173" s="9" t="n"/>
      <c r="D173" s="9" t="n"/>
      <c r="E173" s="10" t="n"/>
      <c r="F173" s="10" t="n"/>
      <c r="G173" s="13">
        <f>IF(E173="","",E173)</f>
        <v/>
      </c>
      <c r="H173" s="16" t="n"/>
      <c r="I173" s="17">
        <f>IF(OR(E173="",H173=""),"",E173*H173)</f>
        <v/>
      </c>
      <c r="J173" s="9" t="n"/>
    </row>
    <row r="174">
      <c r="B174" s="11" t="n"/>
      <c r="C174" s="9" t="n"/>
      <c r="D174" s="9" t="n"/>
      <c r="E174" s="10" t="n"/>
      <c r="F174" s="10" t="n"/>
      <c r="G174" s="13">
        <f>IF(E174="","",E174)</f>
        <v/>
      </c>
      <c r="H174" s="16" t="n"/>
      <c r="I174" s="17">
        <f>IF(OR(E174="",H174=""),"",E174*H174)</f>
        <v/>
      </c>
      <c r="J174" s="9" t="n"/>
    </row>
    <row r="175">
      <c r="B175" s="11" t="n"/>
      <c r="C175" s="9" t="n"/>
      <c r="D175" s="9" t="n"/>
      <c r="E175" s="10" t="n"/>
      <c r="F175" s="10" t="n"/>
      <c r="G175" s="13">
        <f>IF(E175="","",E175)</f>
        <v/>
      </c>
      <c r="H175" s="16" t="n"/>
      <c r="I175" s="17">
        <f>IF(OR(E175="",H175=""),"",E175*H175)</f>
        <v/>
      </c>
      <c r="J175" s="9" t="n"/>
    </row>
    <row r="176">
      <c r="B176" s="11" t="n"/>
      <c r="C176" s="9" t="n"/>
      <c r="D176" s="9" t="n"/>
      <c r="E176" s="10" t="n"/>
      <c r="F176" s="10" t="n"/>
      <c r="G176" s="13">
        <f>IF(E176="","",E176)</f>
        <v/>
      </c>
      <c r="H176" s="16" t="n"/>
      <c r="I176" s="17">
        <f>IF(OR(E176="",H176=""),"",E176*H176)</f>
        <v/>
      </c>
      <c r="J176" s="9" t="n"/>
    </row>
    <row r="177">
      <c r="B177" s="11" t="n"/>
      <c r="C177" s="9" t="n"/>
      <c r="D177" s="9" t="n"/>
      <c r="E177" s="10" t="n"/>
      <c r="F177" s="10" t="n"/>
      <c r="G177" s="13">
        <f>IF(E177="","",E177)</f>
        <v/>
      </c>
      <c r="H177" s="16" t="n"/>
      <c r="I177" s="17">
        <f>IF(OR(E177="",H177=""),"",E177*H177)</f>
        <v/>
      </c>
      <c r="J177" s="9" t="n"/>
    </row>
    <row r="178">
      <c r="B178" s="11" t="n"/>
      <c r="C178" s="9" t="n"/>
      <c r="D178" s="9" t="n"/>
      <c r="E178" s="10" t="n"/>
      <c r="F178" s="10" t="n"/>
      <c r="G178" s="13">
        <f>IF(E178="","",E178)</f>
        <v/>
      </c>
      <c r="H178" s="16" t="n"/>
      <c r="I178" s="17">
        <f>IF(OR(E178="",H178=""),"",E178*H178)</f>
        <v/>
      </c>
      <c r="J178" s="9" t="n"/>
    </row>
    <row r="179">
      <c r="B179" s="11" t="n"/>
      <c r="C179" s="9" t="n"/>
      <c r="D179" s="9" t="n"/>
      <c r="E179" s="10" t="n"/>
      <c r="F179" s="10" t="n"/>
      <c r="G179" s="13">
        <f>IF(E179="","",E179)</f>
        <v/>
      </c>
      <c r="H179" s="16" t="n"/>
      <c r="I179" s="17">
        <f>IF(OR(E179="",H179=""),"",E179*H179)</f>
        <v/>
      </c>
      <c r="J179" s="9" t="n"/>
    </row>
    <row r="180">
      <c r="B180" s="11" t="n"/>
      <c r="C180" s="9" t="n"/>
      <c r="D180" s="9" t="n"/>
      <c r="E180" s="10" t="n"/>
      <c r="F180" s="10" t="n"/>
      <c r="G180" s="13">
        <f>IF(E180="","",E180)</f>
        <v/>
      </c>
      <c r="H180" s="16" t="n"/>
      <c r="I180" s="17">
        <f>IF(OR(E180="",H180=""),"",E180*H180)</f>
        <v/>
      </c>
      <c r="J180" s="9" t="n"/>
    </row>
    <row r="181">
      <c r="B181" s="11" t="n"/>
      <c r="C181" s="9" t="n"/>
      <c r="D181" s="9" t="n"/>
      <c r="E181" s="10" t="n"/>
      <c r="F181" s="10" t="n"/>
      <c r="G181" s="13">
        <f>IF(E181="","",E181)</f>
        <v/>
      </c>
      <c r="H181" s="16" t="n"/>
      <c r="I181" s="17">
        <f>IF(OR(E181="",H181=""),"",E181*H181)</f>
        <v/>
      </c>
      <c r="J181" s="9" t="n"/>
    </row>
    <row r="182">
      <c r="B182" s="11" t="n"/>
      <c r="C182" s="9" t="n"/>
      <c r="D182" s="9" t="n"/>
      <c r="E182" s="10" t="n"/>
      <c r="F182" s="10" t="n"/>
      <c r="G182" s="13">
        <f>IF(E182="","",E182)</f>
        <v/>
      </c>
      <c r="H182" s="16" t="n"/>
      <c r="I182" s="17">
        <f>IF(OR(E182="",H182=""),"",E182*H182)</f>
        <v/>
      </c>
      <c r="J182" s="9" t="n"/>
    </row>
    <row r="183">
      <c r="B183" s="11" t="n"/>
      <c r="C183" s="9" t="n"/>
      <c r="D183" s="9" t="n"/>
      <c r="E183" s="10" t="n"/>
      <c r="F183" s="10" t="n"/>
      <c r="G183" s="13">
        <f>IF(E183="","",E183)</f>
        <v/>
      </c>
      <c r="H183" s="16" t="n"/>
      <c r="I183" s="17">
        <f>IF(OR(E183="",H183=""),"",E183*H183)</f>
        <v/>
      </c>
      <c r="J183" s="9" t="n"/>
    </row>
    <row r="184">
      <c r="B184" s="11" t="n"/>
      <c r="C184" s="9" t="n"/>
      <c r="D184" s="9" t="n"/>
      <c r="E184" s="10" t="n"/>
      <c r="F184" s="10" t="n"/>
      <c r="G184" s="13">
        <f>IF(E184="","",E184)</f>
        <v/>
      </c>
      <c r="H184" s="16" t="n"/>
      <c r="I184" s="17">
        <f>IF(OR(E184="",H184=""),"",E184*H184)</f>
        <v/>
      </c>
      <c r="J184" s="9" t="n"/>
    </row>
    <row r="185">
      <c r="B185" s="11" t="n"/>
      <c r="C185" s="9" t="n"/>
      <c r="D185" s="9" t="n"/>
      <c r="E185" s="10" t="n"/>
      <c r="F185" s="10" t="n"/>
      <c r="G185" s="13">
        <f>IF(E185="","",E185)</f>
        <v/>
      </c>
      <c r="H185" s="16" t="n"/>
      <c r="I185" s="17">
        <f>IF(OR(E185="",H185=""),"",E185*H185)</f>
        <v/>
      </c>
      <c r="J185" s="9" t="n"/>
    </row>
    <row r="186">
      <c r="B186" s="11" t="n"/>
      <c r="C186" s="9" t="n"/>
      <c r="D186" s="9" t="n"/>
      <c r="E186" s="10" t="n"/>
      <c r="F186" s="10" t="n"/>
      <c r="G186" s="13">
        <f>IF(E186="","",E186)</f>
        <v/>
      </c>
      <c r="H186" s="16" t="n"/>
      <c r="I186" s="17">
        <f>IF(OR(E186="",H186=""),"",E186*H186)</f>
        <v/>
      </c>
      <c r="J186" s="9" t="n"/>
    </row>
    <row r="187">
      <c r="B187" s="11" t="n"/>
      <c r="C187" s="9" t="n"/>
      <c r="D187" s="9" t="n"/>
      <c r="E187" s="10" t="n"/>
      <c r="F187" s="10" t="n"/>
      <c r="G187" s="13">
        <f>IF(E187="","",E187)</f>
        <v/>
      </c>
      <c r="H187" s="16" t="n"/>
      <c r="I187" s="17">
        <f>IF(OR(E187="",H187=""),"",E187*H187)</f>
        <v/>
      </c>
      <c r="J187" s="9" t="n"/>
    </row>
    <row r="188">
      <c r="B188" s="11" t="n"/>
      <c r="C188" s="9" t="n"/>
      <c r="D188" s="9" t="n"/>
      <c r="E188" s="10" t="n"/>
      <c r="F188" s="10" t="n"/>
      <c r="G188" s="13">
        <f>IF(E188="","",E188)</f>
        <v/>
      </c>
      <c r="H188" s="16" t="n"/>
      <c r="I188" s="17">
        <f>IF(OR(E188="",H188=""),"",E188*H188)</f>
        <v/>
      </c>
      <c r="J188" s="9" t="n"/>
    </row>
    <row r="189">
      <c r="B189" s="11" t="n"/>
      <c r="C189" s="9" t="n"/>
      <c r="D189" s="9" t="n"/>
      <c r="E189" s="10" t="n"/>
      <c r="F189" s="10" t="n"/>
      <c r="G189" s="13">
        <f>IF(E189="","",E189)</f>
        <v/>
      </c>
      <c r="H189" s="16" t="n"/>
      <c r="I189" s="17">
        <f>IF(OR(E189="",H189=""),"",E189*H189)</f>
        <v/>
      </c>
      <c r="J189" s="9" t="n"/>
    </row>
    <row r="190">
      <c r="B190" s="11" t="n"/>
      <c r="C190" s="9" t="n"/>
      <c r="D190" s="9" t="n"/>
      <c r="E190" s="10" t="n"/>
      <c r="F190" s="10" t="n"/>
      <c r="G190" s="13">
        <f>IF(E190="","",E190)</f>
        <v/>
      </c>
      <c r="H190" s="16" t="n"/>
      <c r="I190" s="17">
        <f>IF(OR(E190="",H190=""),"",E190*H190)</f>
        <v/>
      </c>
      <c r="J190" s="9" t="n"/>
    </row>
    <row r="191">
      <c r="B191" s="11" t="n"/>
      <c r="C191" s="9" t="n"/>
      <c r="D191" s="9" t="n"/>
      <c r="E191" s="10" t="n"/>
      <c r="F191" s="10" t="n"/>
      <c r="G191" s="13">
        <f>IF(E191="","",E191)</f>
        <v/>
      </c>
      <c r="H191" s="16" t="n"/>
      <c r="I191" s="17">
        <f>IF(OR(E191="",H191=""),"",E191*H191)</f>
        <v/>
      </c>
      <c r="J191" s="9" t="n"/>
    </row>
    <row r="192">
      <c r="B192" s="11" t="n"/>
      <c r="C192" s="9" t="n"/>
      <c r="D192" s="9" t="n"/>
      <c r="E192" s="10" t="n"/>
      <c r="F192" s="10" t="n"/>
      <c r="G192" s="13">
        <f>IF(E192="","",E192)</f>
        <v/>
      </c>
      <c r="H192" s="16" t="n"/>
      <c r="I192" s="17">
        <f>IF(OR(E192="",H192=""),"",E192*H192)</f>
        <v/>
      </c>
      <c r="J192" s="9" t="n"/>
    </row>
    <row r="193">
      <c r="B193" s="11" t="n"/>
      <c r="C193" s="9" t="n"/>
      <c r="D193" s="9" t="n"/>
      <c r="E193" s="10" t="n"/>
      <c r="F193" s="10" t="n"/>
      <c r="G193" s="13">
        <f>IF(E193="","",E193)</f>
        <v/>
      </c>
      <c r="H193" s="16" t="n"/>
      <c r="I193" s="17">
        <f>IF(OR(E193="",H193=""),"",E193*H193)</f>
        <v/>
      </c>
      <c r="J193" s="9" t="n"/>
    </row>
    <row r="194">
      <c r="B194" s="11" t="n"/>
      <c r="C194" s="9" t="n"/>
      <c r="D194" s="9" t="n"/>
      <c r="E194" s="10" t="n"/>
      <c r="F194" s="10" t="n"/>
      <c r="G194" s="13">
        <f>IF(E194="","",E194)</f>
        <v/>
      </c>
      <c r="H194" s="16" t="n"/>
      <c r="I194" s="17">
        <f>IF(OR(E194="",H194=""),"",E194*H194)</f>
        <v/>
      </c>
      <c r="J194" s="9" t="n"/>
    </row>
    <row r="195">
      <c r="B195" s="11" t="n"/>
      <c r="C195" s="9" t="n"/>
      <c r="D195" s="9" t="n"/>
      <c r="E195" s="10" t="n"/>
      <c r="F195" s="10" t="n"/>
      <c r="G195" s="13">
        <f>IF(E195="","",E195)</f>
        <v/>
      </c>
      <c r="H195" s="16" t="n"/>
      <c r="I195" s="17">
        <f>IF(OR(E195="",H195=""),"",E195*H195)</f>
        <v/>
      </c>
      <c r="J195" s="9" t="n"/>
    </row>
    <row r="196">
      <c r="B196" s="11" t="n"/>
      <c r="C196" s="9" t="n"/>
      <c r="D196" s="9" t="n"/>
      <c r="E196" s="10" t="n"/>
      <c r="F196" s="10" t="n"/>
      <c r="G196" s="13">
        <f>IF(E196="","",E196)</f>
        <v/>
      </c>
      <c r="H196" s="16" t="n"/>
      <c r="I196" s="17">
        <f>IF(OR(E196="",H196=""),"",E196*H196)</f>
        <v/>
      </c>
      <c r="J196" s="9" t="n"/>
    </row>
    <row r="197">
      <c r="B197" s="11" t="n"/>
      <c r="C197" s="9" t="n"/>
      <c r="D197" s="9" t="n"/>
      <c r="E197" s="10" t="n"/>
      <c r="F197" s="10" t="n"/>
      <c r="G197" s="13">
        <f>IF(E197="","",E197)</f>
        <v/>
      </c>
      <c r="H197" s="16" t="n"/>
      <c r="I197" s="17">
        <f>IF(OR(E197="",H197=""),"",E197*H197)</f>
        <v/>
      </c>
      <c r="J197" s="9" t="n"/>
    </row>
    <row r="198">
      <c r="B198" s="11" t="n"/>
      <c r="C198" s="9" t="n"/>
      <c r="D198" s="9" t="n"/>
      <c r="E198" s="10" t="n"/>
      <c r="F198" s="10" t="n"/>
      <c r="G198" s="13">
        <f>IF(E198="","",E198)</f>
        <v/>
      </c>
      <c r="H198" s="16" t="n"/>
      <c r="I198" s="17">
        <f>IF(OR(E198="",H198=""),"",E198*H198)</f>
        <v/>
      </c>
      <c r="J198" s="9" t="n"/>
    </row>
    <row r="199">
      <c r="B199" s="11" t="n"/>
      <c r="C199" s="9" t="n"/>
      <c r="D199" s="9" t="n"/>
      <c r="E199" s="10" t="n"/>
      <c r="F199" s="10" t="n"/>
      <c r="G199" s="13">
        <f>IF(E199="","",E199)</f>
        <v/>
      </c>
      <c r="H199" s="16" t="n"/>
      <c r="I199" s="17">
        <f>IF(OR(E199="",H199=""),"",E199*H199)</f>
        <v/>
      </c>
      <c r="J199" s="9" t="n"/>
    </row>
    <row r="200">
      <c r="B200" s="11" t="n"/>
      <c r="C200" s="9" t="n"/>
      <c r="D200" s="9" t="n"/>
      <c r="E200" s="10" t="n"/>
      <c r="F200" s="10" t="n"/>
      <c r="G200" s="13">
        <f>IF(E200="","",E200)</f>
        <v/>
      </c>
      <c r="H200" s="16" t="n"/>
      <c r="I200" s="17">
        <f>IF(OR(E200="",H200=""),"",E200*H200)</f>
        <v/>
      </c>
      <c r="J200" s="9" t="n"/>
    </row>
    <row r="201">
      <c r="B201" s="11" t="n"/>
      <c r="C201" s="9" t="n"/>
      <c r="D201" s="9" t="n"/>
      <c r="E201" s="10" t="n"/>
      <c r="F201" s="10" t="n"/>
      <c r="G201" s="13">
        <f>IF(E201="","",E201)</f>
        <v/>
      </c>
      <c r="H201" s="16" t="n"/>
      <c r="I201" s="17">
        <f>IF(OR(E201="",H201=""),"",E201*H201)</f>
        <v/>
      </c>
      <c r="J201" s="9" t="n"/>
    </row>
    <row r="202">
      <c r="B202" s="11" t="n"/>
      <c r="C202" s="9" t="n"/>
      <c r="D202" s="9" t="n"/>
      <c r="E202" s="10" t="n"/>
      <c r="F202" s="10" t="n"/>
      <c r="G202" s="13">
        <f>IF(E202="","",E202)</f>
        <v/>
      </c>
      <c r="H202" s="16" t="n"/>
      <c r="I202" s="17">
        <f>IF(OR(E202="",H202=""),"",E202*H202)</f>
        <v/>
      </c>
      <c r="J202" s="9" t="n"/>
    </row>
    <row r="203">
      <c r="B203" s="11" t="n"/>
      <c r="C203" s="9" t="n"/>
      <c r="D203" s="9" t="n"/>
      <c r="E203" s="10" t="n"/>
      <c r="F203" s="10" t="n"/>
      <c r="G203" s="13">
        <f>IF(E203="","",E203)</f>
        <v/>
      </c>
      <c r="H203" s="16" t="n"/>
      <c r="I203" s="17">
        <f>IF(OR(E203="",H203=""),"",E203*H203)</f>
        <v/>
      </c>
      <c r="J203" s="9" t="n"/>
    </row>
    <row r="204">
      <c r="B204" s="11" t="n"/>
      <c r="C204" s="9" t="n"/>
      <c r="D204" s="9" t="n"/>
      <c r="E204" s="10" t="n"/>
      <c r="F204" s="10" t="n"/>
      <c r="G204" s="13">
        <f>IF(E204="","",E204)</f>
        <v/>
      </c>
      <c r="H204" s="16" t="n"/>
      <c r="I204" s="17">
        <f>IF(OR(E204="",H204=""),"",E204*H204)</f>
        <v/>
      </c>
      <c r="J204" s="9" t="n"/>
    </row>
    <row r="205">
      <c r="B205" s="11" t="n"/>
      <c r="C205" s="9" t="n"/>
      <c r="D205" s="9" t="n"/>
      <c r="E205" s="10" t="n"/>
      <c r="F205" s="10" t="n"/>
      <c r="G205" s="13">
        <f>IF(E205="","",E205)</f>
        <v/>
      </c>
      <c r="H205" s="16" t="n"/>
      <c r="I205" s="17">
        <f>IF(OR(E205="",H205=""),"",E205*H205)</f>
        <v/>
      </c>
      <c r="J205" s="9" t="n"/>
    </row>
    <row r="206">
      <c r="B206" s="11" t="n"/>
      <c r="C206" s="9" t="n"/>
      <c r="D206" s="9" t="n"/>
      <c r="E206" s="10" t="n"/>
      <c r="F206" s="10" t="n"/>
      <c r="G206" s="13">
        <f>IF(E206="","",E206)</f>
        <v/>
      </c>
      <c r="H206" s="16" t="n"/>
      <c r="I206" s="17">
        <f>IF(OR(E206="",H206=""),"",E206*H206)</f>
        <v/>
      </c>
      <c r="J206" s="9" t="n"/>
    </row>
    <row r="207">
      <c r="B207" s="11" t="n"/>
      <c r="C207" s="9" t="n"/>
      <c r="D207" s="9" t="n"/>
      <c r="E207" s="10" t="n"/>
      <c r="F207" s="10" t="n"/>
      <c r="G207" s="13">
        <f>IF(E207="","",E207)</f>
        <v/>
      </c>
      <c r="H207" s="16" t="n"/>
      <c r="I207" s="17">
        <f>IF(OR(E207="",H207=""),"",E207*H207)</f>
        <v/>
      </c>
      <c r="J207" s="9" t="n"/>
    </row>
    <row r="208">
      <c r="B208" s="11" t="n"/>
      <c r="C208" s="9" t="n"/>
      <c r="D208" s="9" t="n"/>
      <c r="E208" s="10" t="n"/>
      <c r="F208" s="10" t="n"/>
      <c r="G208" s="13">
        <f>IF(E208="","",E208)</f>
        <v/>
      </c>
      <c r="H208" s="16" t="n"/>
      <c r="I208" s="17">
        <f>IF(OR(E208="",H208=""),"",E208*H208)</f>
        <v/>
      </c>
      <c r="J208" s="9" t="n"/>
    </row>
    <row r="209">
      <c r="B209" s="11" t="n"/>
      <c r="C209" s="9" t="n"/>
      <c r="D209" s="9" t="n"/>
      <c r="E209" s="10" t="n"/>
      <c r="F209" s="10" t="n"/>
      <c r="G209" s="13">
        <f>IF(E209="","",E209)</f>
        <v/>
      </c>
      <c r="H209" s="16" t="n"/>
      <c r="I209" s="17">
        <f>IF(OR(E209="",H209=""),"",E209*H209)</f>
        <v/>
      </c>
      <c r="J209" s="9" t="n"/>
    </row>
    <row r="210">
      <c r="B210" s="11" t="n"/>
      <c r="C210" s="9" t="n"/>
      <c r="D210" s="9" t="n"/>
      <c r="E210" s="10" t="n"/>
      <c r="F210" s="10" t="n"/>
      <c r="G210" s="13">
        <f>IF(E210="","",E210)</f>
        <v/>
      </c>
      <c r="H210" s="16" t="n"/>
      <c r="I210" s="17">
        <f>IF(OR(E210="",H210=""),"",E210*H210)</f>
        <v/>
      </c>
      <c r="J210" s="9" t="n"/>
    </row>
    <row r="211">
      <c r="B211" s="11" t="n"/>
      <c r="C211" s="9" t="n"/>
      <c r="D211" s="9" t="n"/>
      <c r="E211" s="10" t="n"/>
      <c r="F211" s="10" t="n"/>
      <c r="G211" s="13">
        <f>IF(E211="","",E211)</f>
        <v/>
      </c>
      <c r="H211" s="16" t="n"/>
      <c r="I211" s="17">
        <f>IF(OR(E211="",H211=""),"",E211*H211)</f>
        <v/>
      </c>
      <c r="J211" s="9" t="n"/>
    </row>
    <row r="212">
      <c r="B212" s="11" t="n"/>
      <c r="C212" s="9" t="n"/>
      <c r="D212" s="9" t="n"/>
      <c r="E212" s="10" t="n"/>
      <c r="F212" s="10" t="n"/>
      <c r="G212" s="13">
        <f>IF(E212="","",E212)</f>
        <v/>
      </c>
      <c r="H212" s="16" t="n"/>
      <c r="I212" s="17">
        <f>IF(OR(E212="",H212=""),"",E212*H212)</f>
        <v/>
      </c>
      <c r="J212" s="9" t="n"/>
    </row>
    <row r="213">
      <c r="B213" s="11" t="n"/>
      <c r="C213" s="9" t="n"/>
      <c r="D213" s="9" t="n"/>
      <c r="E213" s="10" t="n"/>
      <c r="F213" s="10" t="n"/>
      <c r="G213" s="13">
        <f>IF(E213="","",E213)</f>
        <v/>
      </c>
      <c r="H213" s="16" t="n"/>
      <c r="I213" s="17">
        <f>IF(OR(E213="",H213=""),"",E213*H213)</f>
        <v/>
      </c>
      <c r="J213" s="9" t="n"/>
    </row>
    <row r="214">
      <c r="B214" s="11" t="n"/>
      <c r="C214" s="9" t="n"/>
      <c r="D214" s="9" t="n"/>
      <c r="E214" s="10" t="n"/>
      <c r="F214" s="10" t="n"/>
      <c r="G214" s="13">
        <f>IF(E214="","",E214)</f>
        <v/>
      </c>
      <c r="H214" s="16" t="n"/>
      <c r="I214" s="17">
        <f>IF(OR(E214="",H214=""),"",E214*H214)</f>
        <v/>
      </c>
      <c r="J214" s="9" t="n"/>
    </row>
    <row r="215">
      <c r="B215" s="11" t="n"/>
      <c r="C215" s="9" t="n"/>
      <c r="D215" s="9" t="n"/>
      <c r="E215" s="10" t="n"/>
      <c r="F215" s="10" t="n"/>
      <c r="G215" s="13">
        <f>IF(E215="","",E215)</f>
        <v/>
      </c>
      <c r="H215" s="16" t="n"/>
      <c r="I215" s="17">
        <f>IF(OR(E215="",H215=""),"",E215*H215)</f>
        <v/>
      </c>
      <c r="J215" s="9" t="n"/>
    </row>
    <row r="216">
      <c r="B216" s="11" t="n"/>
      <c r="C216" s="9" t="n"/>
      <c r="D216" s="9" t="n"/>
      <c r="E216" s="10" t="n"/>
      <c r="F216" s="10" t="n"/>
      <c r="G216" s="13">
        <f>IF(E216="","",E216)</f>
        <v/>
      </c>
      <c r="H216" s="16" t="n"/>
      <c r="I216" s="17">
        <f>IF(OR(E216="",H216=""),"",E216*H216)</f>
        <v/>
      </c>
      <c r="J216" s="9" t="n"/>
    </row>
    <row r="217">
      <c r="B217" s="11" t="n"/>
      <c r="C217" s="9" t="n"/>
      <c r="D217" s="9" t="n"/>
      <c r="E217" s="10" t="n"/>
      <c r="F217" s="10" t="n"/>
      <c r="G217" s="13">
        <f>IF(E217="","",E217)</f>
        <v/>
      </c>
      <c r="H217" s="16" t="n"/>
      <c r="I217" s="17">
        <f>IF(OR(E217="",H217=""),"",E217*H217)</f>
        <v/>
      </c>
      <c r="J217" s="9" t="n"/>
    </row>
    <row r="218">
      <c r="B218" s="11" t="n"/>
      <c r="C218" s="9" t="n"/>
      <c r="D218" s="9" t="n"/>
      <c r="E218" s="10" t="n"/>
      <c r="F218" s="10" t="n"/>
      <c r="G218" s="13">
        <f>IF(E218="","",E218)</f>
        <v/>
      </c>
      <c r="H218" s="16" t="n"/>
      <c r="I218" s="17">
        <f>IF(OR(E218="",H218=""),"",E218*H218)</f>
        <v/>
      </c>
      <c r="J218" s="9" t="n"/>
    </row>
    <row r="219">
      <c r="B219" s="11" t="n"/>
      <c r="C219" s="9" t="n"/>
      <c r="D219" s="9" t="n"/>
      <c r="E219" s="10" t="n"/>
      <c r="F219" s="10" t="n"/>
      <c r="G219" s="13">
        <f>IF(E219="","",E219)</f>
        <v/>
      </c>
      <c r="H219" s="16" t="n"/>
      <c r="I219" s="17">
        <f>IF(OR(E219="",H219=""),"",E219*H219)</f>
        <v/>
      </c>
      <c r="J219" s="9" t="n"/>
    </row>
    <row r="220">
      <c r="B220" s="11" t="n"/>
      <c r="C220" s="9" t="n"/>
      <c r="D220" s="9" t="n"/>
      <c r="E220" s="10" t="n"/>
      <c r="F220" s="10" t="n"/>
      <c r="G220" s="13">
        <f>IF(E220="","",E220)</f>
        <v/>
      </c>
      <c r="H220" s="16" t="n"/>
      <c r="I220" s="17">
        <f>IF(OR(E220="",H220=""),"",E220*H220)</f>
        <v/>
      </c>
      <c r="J220" s="9" t="n"/>
    </row>
    <row r="221">
      <c r="B221" s="11" t="n"/>
      <c r="C221" s="9" t="n"/>
      <c r="D221" s="9" t="n"/>
      <c r="E221" s="10" t="n"/>
      <c r="F221" s="10" t="n"/>
      <c r="G221" s="13">
        <f>IF(E221="","",E221)</f>
        <v/>
      </c>
      <c r="H221" s="16" t="n"/>
      <c r="I221" s="17">
        <f>IF(OR(E221="",H221=""),"",E221*H221)</f>
        <v/>
      </c>
      <c r="J221" s="9" t="n"/>
    </row>
    <row r="222">
      <c r="B222" s="11" t="n"/>
      <c r="C222" s="9" t="n"/>
      <c r="D222" s="9" t="n"/>
      <c r="E222" s="10" t="n"/>
      <c r="F222" s="10" t="n"/>
      <c r="G222" s="13">
        <f>IF(E222="","",E222)</f>
        <v/>
      </c>
      <c r="H222" s="16" t="n"/>
      <c r="I222" s="17">
        <f>IF(OR(E222="",H222=""),"",E222*H222)</f>
        <v/>
      </c>
      <c r="J222" s="9" t="n"/>
    </row>
    <row r="223">
      <c r="B223" s="11" t="n"/>
      <c r="C223" s="9" t="n"/>
      <c r="D223" s="9" t="n"/>
      <c r="E223" s="10" t="n"/>
      <c r="F223" s="10" t="n"/>
      <c r="G223" s="13">
        <f>IF(E223="","",E223)</f>
        <v/>
      </c>
      <c r="H223" s="16" t="n"/>
      <c r="I223" s="17">
        <f>IF(OR(E223="",H223=""),"",E223*H223)</f>
        <v/>
      </c>
      <c r="J223" s="9" t="n"/>
    </row>
    <row r="224">
      <c r="B224" s="11" t="n"/>
      <c r="C224" s="9" t="n"/>
      <c r="D224" s="9" t="n"/>
      <c r="E224" s="10" t="n"/>
      <c r="F224" s="10" t="n"/>
      <c r="G224" s="13">
        <f>IF(E224="","",E224)</f>
        <v/>
      </c>
      <c r="H224" s="16" t="n"/>
      <c r="I224" s="17">
        <f>IF(OR(E224="",H224=""),"",E224*H224)</f>
        <v/>
      </c>
      <c r="J224" s="9" t="n"/>
    </row>
    <row r="225">
      <c r="B225" s="11" t="n"/>
      <c r="C225" s="9" t="n"/>
      <c r="D225" s="9" t="n"/>
      <c r="E225" s="10" t="n"/>
      <c r="F225" s="10" t="n"/>
      <c r="G225" s="13">
        <f>IF(E225="","",E225)</f>
        <v/>
      </c>
      <c r="H225" s="16" t="n"/>
      <c r="I225" s="17">
        <f>IF(OR(E225="",H225=""),"",E225*H225)</f>
        <v/>
      </c>
      <c r="J225" s="9" t="n"/>
    </row>
    <row r="226">
      <c r="B226" s="11" t="n"/>
      <c r="C226" s="9" t="n"/>
      <c r="D226" s="9" t="n"/>
      <c r="E226" s="10" t="n"/>
      <c r="F226" s="10" t="n"/>
      <c r="G226" s="13">
        <f>IF(E226="","",E226)</f>
        <v/>
      </c>
      <c r="H226" s="16" t="n"/>
      <c r="I226" s="17">
        <f>IF(OR(E226="",H226=""),"",E226*H226)</f>
        <v/>
      </c>
      <c r="J226" s="9" t="n"/>
    </row>
    <row r="227">
      <c r="B227" s="11" t="n"/>
      <c r="C227" s="9" t="n"/>
      <c r="D227" s="9" t="n"/>
      <c r="E227" s="10" t="n"/>
      <c r="F227" s="10" t="n"/>
      <c r="G227" s="13">
        <f>IF(E227="","",E227)</f>
        <v/>
      </c>
      <c r="H227" s="16" t="n"/>
      <c r="I227" s="17">
        <f>IF(OR(E227="",H227=""),"",E227*H227)</f>
        <v/>
      </c>
      <c r="J227" s="9" t="n"/>
    </row>
    <row r="228">
      <c r="B228" s="11" t="n"/>
      <c r="C228" s="9" t="n"/>
      <c r="D228" s="9" t="n"/>
      <c r="E228" s="10" t="n"/>
      <c r="F228" s="10" t="n"/>
      <c r="G228" s="13">
        <f>IF(E228="","",E228)</f>
        <v/>
      </c>
      <c r="H228" s="16" t="n"/>
      <c r="I228" s="17">
        <f>IF(OR(E228="",H228=""),"",E228*H228)</f>
        <v/>
      </c>
      <c r="J228" s="9" t="n"/>
    </row>
    <row r="229">
      <c r="B229" s="11" t="n"/>
      <c r="C229" s="9" t="n"/>
      <c r="D229" s="9" t="n"/>
      <c r="E229" s="10" t="n"/>
      <c r="F229" s="10" t="n"/>
      <c r="G229" s="13">
        <f>IF(E229="","",E229)</f>
        <v/>
      </c>
      <c r="H229" s="16" t="n"/>
      <c r="I229" s="17">
        <f>IF(OR(E229="",H229=""),"",E229*H229)</f>
        <v/>
      </c>
      <c r="J229" s="9" t="n"/>
    </row>
    <row r="230">
      <c r="B230" s="11" t="n"/>
      <c r="C230" s="9" t="n"/>
      <c r="D230" s="9" t="n"/>
      <c r="E230" s="10" t="n"/>
      <c r="F230" s="10" t="n"/>
      <c r="G230" s="13">
        <f>IF(E230="","",E230)</f>
        <v/>
      </c>
      <c r="H230" s="16" t="n"/>
      <c r="I230" s="17">
        <f>IF(OR(E230="",H230=""),"",E230*H230)</f>
        <v/>
      </c>
      <c r="J230" s="9" t="n"/>
    </row>
    <row r="231">
      <c r="B231" s="11" t="n"/>
      <c r="C231" s="9" t="n"/>
      <c r="D231" s="9" t="n"/>
      <c r="E231" s="10" t="n"/>
      <c r="F231" s="10" t="n"/>
      <c r="G231" s="13">
        <f>IF(E231="","",E231)</f>
        <v/>
      </c>
      <c r="H231" s="16" t="n"/>
      <c r="I231" s="17">
        <f>IF(OR(E231="",H231=""),"",E231*H231)</f>
        <v/>
      </c>
      <c r="J231" s="9" t="n"/>
    </row>
    <row r="232">
      <c r="B232" s="11" t="n"/>
      <c r="C232" s="9" t="n"/>
      <c r="D232" s="9" t="n"/>
      <c r="E232" s="10" t="n"/>
      <c r="F232" s="10" t="n"/>
      <c r="G232" s="13">
        <f>IF(E232="","",E232)</f>
        <v/>
      </c>
      <c r="H232" s="16" t="n"/>
      <c r="I232" s="17">
        <f>IF(OR(E232="",H232=""),"",E232*H232)</f>
        <v/>
      </c>
      <c r="J232" s="9" t="n"/>
    </row>
    <row r="233">
      <c r="B233" s="11" t="n"/>
      <c r="C233" s="9" t="n"/>
      <c r="D233" s="9" t="n"/>
      <c r="E233" s="10" t="n"/>
      <c r="F233" s="10" t="n"/>
      <c r="G233" s="13">
        <f>IF(E233="","",E233)</f>
        <v/>
      </c>
      <c r="H233" s="16" t="n"/>
      <c r="I233" s="17">
        <f>IF(OR(E233="",H233=""),"",E233*H233)</f>
        <v/>
      </c>
      <c r="J233" s="9" t="n"/>
    </row>
    <row r="234">
      <c r="B234" s="11" t="n"/>
      <c r="C234" s="9" t="n"/>
      <c r="D234" s="9" t="n"/>
      <c r="E234" s="10" t="n"/>
      <c r="F234" s="10" t="n"/>
      <c r="G234" s="13">
        <f>IF(E234="","",E234)</f>
        <v/>
      </c>
      <c r="H234" s="16" t="n"/>
      <c r="I234" s="17">
        <f>IF(OR(E234="",H234=""),"",E234*H234)</f>
        <v/>
      </c>
      <c r="J234" s="9" t="n"/>
    </row>
    <row r="235">
      <c r="B235" s="11" t="n"/>
      <c r="C235" s="9" t="n"/>
      <c r="D235" s="9" t="n"/>
      <c r="E235" s="10" t="n"/>
      <c r="F235" s="10" t="n"/>
      <c r="G235" s="13">
        <f>IF(E235="","",E235)</f>
        <v/>
      </c>
      <c r="H235" s="16" t="n"/>
      <c r="I235" s="17">
        <f>IF(OR(E235="",H235=""),"",E235*H235)</f>
        <v/>
      </c>
      <c r="J235" s="9" t="n"/>
    </row>
    <row r="236">
      <c r="B236" s="11" t="n"/>
      <c r="C236" s="9" t="n"/>
      <c r="D236" s="9" t="n"/>
      <c r="E236" s="10" t="n"/>
      <c r="F236" s="10" t="n"/>
      <c r="G236" s="13">
        <f>IF(E236="","",E236)</f>
        <v/>
      </c>
      <c r="H236" s="16" t="n"/>
      <c r="I236" s="17">
        <f>IF(OR(E236="",H236=""),"",E236*H236)</f>
        <v/>
      </c>
      <c r="J236" s="9" t="n"/>
    </row>
    <row r="237">
      <c r="B237" s="11" t="n"/>
      <c r="C237" s="9" t="n"/>
      <c r="D237" s="9" t="n"/>
      <c r="E237" s="10" t="n"/>
      <c r="F237" s="10" t="n"/>
      <c r="G237" s="13">
        <f>IF(E237="","",E237)</f>
        <v/>
      </c>
      <c r="H237" s="16" t="n"/>
      <c r="I237" s="17">
        <f>IF(OR(E237="",H237=""),"",E237*H237)</f>
        <v/>
      </c>
      <c r="J237" s="9" t="n"/>
    </row>
    <row r="238">
      <c r="B238" s="11" t="n"/>
      <c r="C238" s="9" t="n"/>
      <c r="D238" s="9" t="n"/>
      <c r="E238" s="10" t="n"/>
      <c r="F238" s="10" t="n"/>
      <c r="G238" s="13">
        <f>IF(E238="","",E238)</f>
        <v/>
      </c>
      <c r="H238" s="16" t="n"/>
      <c r="I238" s="17">
        <f>IF(OR(E238="",H238=""),"",E238*H238)</f>
        <v/>
      </c>
      <c r="J238" s="9" t="n"/>
    </row>
    <row r="239">
      <c r="B239" s="11" t="n"/>
      <c r="C239" s="9" t="n"/>
      <c r="D239" s="9" t="n"/>
      <c r="E239" s="10" t="n"/>
      <c r="F239" s="10" t="n"/>
      <c r="G239" s="13">
        <f>IF(E239="","",E239)</f>
        <v/>
      </c>
      <c r="H239" s="16" t="n"/>
      <c r="I239" s="17">
        <f>IF(OR(E239="",H239=""),"",E239*H239)</f>
        <v/>
      </c>
      <c r="J239" s="9" t="n"/>
    </row>
    <row r="240">
      <c r="B240" s="11" t="n"/>
      <c r="C240" s="9" t="n"/>
      <c r="D240" s="9" t="n"/>
      <c r="E240" s="10" t="n"/>
      <c r="F240" s="10" t="n"/>
      <c r="G240" s="13">
        <f>IF(E240="","",E240)</f>
        <v/>
      </c>
      <c r="H240" s="16" t="n"/>
      <c r="I240" s="17">
        <f>IF(OR(E240="",H240=""),"",E240*H240)</f>
        <v/>
      </c>
      <c r="J240" s="9" t="n"/>
    </row>
    <row r="241">
      <c r="B241" s="11" t="n"/>
      <c r="C241" s="9" t="n"/>
      <c r="D241" s="9" t="n"/>
      <c r="E241" s="10" t="n"/>
      <c r="F241" s="10" t="n"/>
      <c r="G241" s="13">
        <f>IF(E241="","",E241)</f>
        <v/>
      </c>
      <c r="H241" s="16" t="n"/>
      <c r="I241" s="17">
        <f>IF(OR(E241="",H241=""),"",E241*H241)</f>
        <v/>
      </c>
      <c r="J241" s="9" t="n"/>
    </row>
    <row r="242">
      <c r="B242" s="11" t="n"/>
      <c r="C242" s="9" t="n"/>
      <c r="D242" s="9" t="n"/>
      <c r="E242" s="10" t="n"/>
      <c r="F242" s="10" t="n"/>
      <c r="G242" s="13">
        <f>IF(E242="","",E242)</f>
        <v/>
      </c>
      <c r="H242" s="16" t="n"/>
      <c r="I242" s="17">
        <f>IF(OR(E242="",H242=""),"",E242*H242)</f>
        <v/>
      </c>
      <c r="J242" s="9" t="n"/>
    </row>
    <row r="243">
      <c r="B243" s="11" t="n"/>
      <c r="C243" s="9" t="n"/>
      <c r="D243" s="9" t="n"/>
      <c r="E243" s="10" t="n"/>
      <c r="F243" s="10" t="n"/>
      <c r="G243" s="13">
        <f>IF(E243="","",E243)</f>
        <v/>
      </c>
      <c r="H243" s="16" t="n"/>
      <c r="I243" s="17">
        <f>IF(OR(E243="",H243=""),"",E243*H243)</f>
        <v/>
      </c>
      <c r="J243" s="9" t="n"/>
    </row>
    <row r="244">
      <c r="B244" s="11" t="n"/>
      <c r="C244" s="9" t="n"/>
      <c r="D244" s="9" t="n"/>
      <c r="E244" s="10" t="n"/>
      <c r="F244" s="10" t="n"/>
      <c r="G244" s="13">
        <f>IF(E244="","",E244)</f>
        <v/>
      </c>
      <c r="H244" s="16" t="n"/>
      <c r="I244" s="17">
        <f>IF(OR(E244="",H244=""),"",E244*H244)</f>
        <v/>
      </c>
      <c r="J244" s="9" t="n"/>
    </row>
    <row r="245">
      <c r="B245" s="11" t="n"/>
      <c r="C245" s="9" t="n"/>
      <c r="D245" s="9" t="n"/>
      <c r="E245" s="10" t="n"/>
      <c r="F245" s="10" t="n"/>
      <c r="G245" s="13">
        <f>IF(E245="","",E245)</f>
        <v/>
      </c>
      <c r="H245" s="16" t="n"/>
      <c r="I245" s="17">
        <f>IF(OR(E245="",H245=""),"",E245*H245)</f>
        <v/>
      </c>
      <c r="J245" s="9" t="n"/>
    </row>
    <row r="246">
      <c r="B246" s="11" t="n"/>
      <c r="C246" s="9" t="n"/>
      <c r="D246" s="9" t="n"/>
      <c r="E246" s="10" t="n"/>
      <c r="F246" s="10" t="n"/>
      <c r="G246" s="13">
        <f>IF(E246="","",E246)</f>
        <v/>
      </c>
      <c r="H246" s="16" t="n"/>
      <c r="I246" s="17">
        <f>IF(OR(E246="",H246=""),"",E246*H246)</f>
        <v/>
      </c>
      <c r="J246" s="9" t="n"/>
    </row>
    <row r="247">
      <c r="B247" s="11" t="n"/>
      <c r="C247" s="9" t="n"/>
      <c r="D247" s="9" t="n"/>
      <c r="E247" s="10" t="n"/>
      <c r="F247" s="10" t="n"/>
      <c r="G247" s="13">
        <f>IF(E247="","",E247)</f>
        <v/>
      </c>
      <c r="H247" s="16" t="n"/>
      <c r="I247" s="17">
        <f>IF(OR(E247="",H247=""),"",E247*H247)</f>
        <v/>
      </c>
      <c r="J247" s="9" t="n"/>
    </row>
    <row r="248">
      <c r="B248" s="11" t="n"/>
      <c r="C248" s="9" t="n"/>
      <c r="D248" s="9" t="n"/>
      <c r="E248" s="10" t="n"/>
      <c r="F248" s="10" t="n"/>
      <c r="G248" s="13">
        <f>IF(E248="","",E248)</f>
        <v/>
      </c>
      <c r="H248" s="16" t="n"/>
      <c r="I248" s="17">
        <f>IF(OR(E248="",H248=""),"",E248*H248)</f>
        <v/>
      </c>
      <c r="J248" s="9" t="n"/>
    </row>
    <row r="249">
      <c r="B249" s="11" t="n"/>
      <c r="C249" s="9" t="n"/>
      <c r="D249" s="9" t="n"/>
      <c r="E249" s="10" t="n"/>
      <c r="F249" s="10" t="n"/>
      <c r="G249" s="13">
        <f>IF(E249="","",E249)</f>
        <v/>
      </c>
      <c r="H249" s="16" t="n"/>
      <c r="I249" s="17">
        <f>IF(OR(E249="",H249=""),"",E249*H249)</f>
        <v/>
      </c>
      <c r="J249" s="9" t="n"/>
    </row>
    <row r="250">
      <c r="B250" s="11" t="n"/>
      <c r="C250" s="9" t="n"/>
      <c r="D250" s="9" t="n"/>
      <c r="E250" s="10" t="n"/>
      <c r="F250" s="10" t="n"/>
      <c r="G250" s="13">
        <f>IF(E250="","",E250)</f>
        <v/>
      </c>
      <c r="H250" s="16" t="n"/>
      <c r="I250" s="17">
        <f>IF(OR(E250="",H250=""),"",E250*H250)</f>
        <v/>
      </c>
      <c r="J250" s="9" t="n"/>
    </row>
    <row r="251">
      <c r="B251" s="11" t="n"/>
      <c r="C251" s="9" t="n"/>
      <c r="D251" s="9" t="n"/>
      <c r="E251" s="10" t="n"/>
      <c r="F251" s="10" t="n"/>
      <c r="G251" s="13">
        <f>IF(E251="","",E251)</f>
        <v/>
      </c>
      <c r="H251" s="16" t="n"/>
      <c r="I251" s="17">
        <f>IF(OR(E251="",H251=""),"",E251*H251)</f>
        <v/>
      </c>
      <c r="J251" s="9" t="n"/>
    </row>
    <row r="252">
      <c r="B252" s="11" t="n"/>
      <c r="C252" s="9" t="n"/>
      <c r="D252" s="9" t="n"/>
      <c r="E252" s="10" t="n"/>
      <c r="F252" s="10" t="n"/>
      <c r="G252" s="13">
        <f>IF(E252="","",E252)</f>
        <v/>
      </c>
      <c r="H252" s="16" t="n"/>
      <c r="I252" s="17">
        <f>IF(OR(E252="",H252=""),"",E252*H252)</f>
        <v/>
      </c>
      <c r="J252" s="9" t="n"/>
    </row>
    <row r="253">
      <c r="B253" s="11" t="n"/>
      <c r="C253" s="9" t="n"/>
      <c r="D253" s="9" t="n"/>
      <c r="E253" s="10" t="n"/>
      <c r="F253" s="10" t="n"/>
      <c r="G253" s="13">
        <f>IF(E253="","",E253)</f>
        <v/>
      </c>
      <c r="H253" s="16" t="n"/>
      <c r="I253" s="17">
        <f>IF(OR(E253="",H253=""),"",E253*H253)</f>
        <v/>
      </c>
      <c r="J253" s="9" t="n"/>
    </row>
    <row r="254">
      <c r="B254" s="11" t="n"/>
      <c r="C254" s="9" t="n"/>
      <c r="D254" s="9" t="n"/>
      <c r="E254" s="10" t="n"/>
      <c r="F254" s="10" t="n"/>
      <c r="G254" s="13">
        <f>IF(E254="","",E254)</f>
        <v/>
      </c>
      <c r="H254" s="16" t="n"/>
      <c r="I254" s="17">
        <f>IF(OR(E254="",H254=""),"",E254*H254)</f>
        <v/>
      </c>
      <c r="J254" s="9" t="n"/>
    </row>
    <row r="255">
      <c r="B255" s="11" t="n"/>
      <c r="C255" s="9" t="n"/>
      <c r="D255" s="9" t="n"/>
      <c r="E255" s="10" t="n"/>
      <c r="F255" s="10" t="n"/>
      <c r="G255" s="13">
        <f>IF(E255="","",E255)</f>
        <v/>
      </c>
      <c r="H255" s="16" t="n"/>
      <c r="I255" s="17">
        <f>IF(OR(E255="",H255=""),"",E255*H255)</f>
        <v/>
      </c>
      <c r="J255" s="9" t="n"/>
    </row>
    <row r="256">
      <c r="B256" s="11" t="n"/>
      <c r="C256" s="9" t="n"/>
      <c r="D256" s="9" t="n"/>
      <c r="E256" s="10" t="n"/>
      <c r="F256" s="10" t="n"/>
      <c r="G256" s="13">
        <f>IF(E256="","",E256)</f>
        <v/>
      </c>
      <c r="H256" s="16" t="n"/>
      <c r="I256" s="17">
        <f>IF(OR(E256="",H256=""),"",E256*H256)</f>
        <v/>
      </c>
      <c r="J256" s="9" t="n"/>
    </row>
    <row r="257">
      <c r="B257" s="11" t="n"/>
      <c r="C257" s="9" t="n"/>
      <c r="D257" s="9" t="n"/>
      <c r="E257" s="10" t="n"/>
      <c r="F257" s="10" t="n"/>
      <c r="G257" s="13">
        <f>IF(E257="","",E257)</f>
        <v/>
      </c>
      <c r="H257" s="16" t="n"/>
      <c r="I257" s="17">
        <f>IF(OR(E257="",H257=""),"",E257*H257)</f>
        <v/>
      </c>
      <c r="J257" s="9" t="n"/>
    </row>
    <row r="258">
      <c r="B258" s="11" t="n"/>
      <c r="C258" s="9" t="n"/>
      <c r="D258" s="9" t="n"/>
      <c r="E258" s="10" t="n"/>
      <c r="F258" s="10" t="n"/>
      <c r="G258" s="13">
        <f>IF(E258="","",E258)</f>
        <v/>
      </c>
      <c r="H258" s="16" t="n"/>
      <c r="I258" s="17">
        <f>IF(OR(E258="",H258=""),"",E258*H258)</f>
        <v/>
      </c>
      <c r="J258" s="9" t="n"/>
    </row>
    <row r="259">
      <c r="B259" s="11" t="n"/>
      <c r="C259" s="9" t="n"/>
      <c r="D259" s="9" t="n"/>
      <c r="E259" s="10" t="n"/>
      <c r="F259" s="10" t="n"/>
      <c r="G259" s="13">
        <f>IF(E259="","",E259)</f>
        <v/>
      </c>
      <c r="H259" s="16" t="n"/>
      <c r="I259" s="17">
        <f>IF(OR(E259="",H259=""),"",E259*H259)</f>
        <v/>
      </c>
      <c r="J259" s="9" t="n"/>
    </row>
    <row r="260">
      <c r="B260" s="11" t="n"/>
      <c r="C260" s="9" t="n"/>
      <c r="D260" s="9" t="n"/>
      <c r="E260" s="10" t="n"/>
      <c r="F260" s="10" t="n"/>
      <c r="G260" s="13">
        <f>IF(E260="","",E260)</f>
        <v/>
      </c>
      <c r="H260" s="16" t="n"/>
      <c r="I260" s="17">
        <f>IF(OR(E260="",H260=""),"",E260*H260)</f>
        <v/>
      </c>
      <c r="J260" s="9" t="n"/>
    </row>
    <row r="261">
      <c r="B261" s="11" t="n"/>
      <c r="C261" s="9" t="n"/>
      <c r="D261" s="9" t="n"/>
      <c r="E261" s="10" t="n"/>
      <c r="F261" s="10" t="n"/>
      <c r="G261" s="13">
        <f>IF(E261="","",E261)</f>
        <v/>
      </c>
      <c r="H261" s="16" t="n"/>
      <c r="I261" s="17">
        <f>IF(OR(E261="",H261=""),"",E261*H261)</f>
        <v/>
      </c>
      <c r="J261" s="9" t="n"/>
    </row>
    <row r="262">
      <c r="B262" s="11" t="n"/>
      <c r="C262" s="9" t="n"/>
      <c r="D262" s="9" t="n"/>
      <c r="E262" s="10" t="n"/>
      <c r="F262" s="10" t="n"/>
      <c r="G262" s="13">
        <f>IF(E262="","",E262)</f>
        <v/>
      </c>
      <c r="H262" s="16" t="n"/>
      <c r="I262" s="17">
        <f>IF(OR(E262="",H262=""),"",E262*H262)</f>
        <v/>
      </c>
      <c r="J262" s="9" t="n"/>
    </row>
    <row r="263">
      <c r="B263" s="11" t="n"/>
      <c r="C263" s="9" t="n"/>
      <c r="D263" s="9" t="n"/>
      <c r="E263" s="10" t="n"/>
      <c r="F263" s="10" t="n"/>
      <c r="G263" s="13">
        <f>IF(E263="","",E263)</f>
        <v/>
      </c>
      <c r="H263" s="16" t="n"/>
      <c r="I263" s="17">
        <f>IF(OR(E263="",H263=""),"",E263*H263)</f>
        <v/>
      </c>
      <c r="J263" s="9" t="n"/>
    </row>
    <row r="264">
      <c r="B264" s="11" t="n"/>
      <c r="C264" s="9" t="n"/>
      <c r="D264" s="9" t="n"/>
      <c r="E264" s="10" t="n"/>
      <c r="F264" s="10" t="n"/>
      <c r="G264" s="13">
        <f>IF(E264="","",E264)</f>
        <v/>
      </c>
      <c r="H264" s="16" t="n"/>
      <c r="I264" s="17">
        <f>IF(OR(E264="",H264=""),"",E264*H264)</f>
        <v/>
      </c>
      <c r="J264" s="9" t="n"/>
    </row>
    <row r="265">
      <c r="B265" s="11" t="n"/>
      <c r="C265" s="9" t="n"/>
      <c r="D265" s="9" t="n"/>
      <c r="E265" s="10" t="n"/>
      <c r="F265" s="10" t="n"/>
      <c r="G265" s="13">
        <f>IF(E265="","",E265)</f>
        <v/>
      </c>
      <c r="H265" s="16" t="n"/>
      <c r="I265" s="17">
        <f>IF(OR(E265="",H265=""),"",E265*H265)</f>
        <v/>
      </c>
      <c r="J265" s="9" t="n"/>
    </row>
    <row r="266">
      <c r="B266" s="11" t="n"/>
      <c r="C266" s="9" t="n"/>
      <c r="D266" s="9" t="n"/>
      <c r="E266" s="10" t="n"/>
      <c r="F266" s="10" t="n"/>
      <c r="G266" s="13">
        <f>IF(E266="","",E266)</f>
        <v/>
      </c>
      <c r="H266" s="16" t="n"/>
      <c r="I266" s="17">
        <f>IF(OR(E266="",H266=""),"",E266*H266)</f>
        <v/>
      </c>
      <c r="J266" s="9" t="n"/>
    </row>
    <row r="267">
      <c r="B267" s="11" t="n"/>
      <c r="C267" s="9" t="n"/>
      <c r="D267" s="9" t="n"/>
      <c r="E267" s="10" t="n"/>
      <c r="F267" s="10" t="n"/>
      <c r="G267" s="13">
        <f>IF(E267="","",E267)</f>
        <v/>
      </c>
      <c r="H267" s="16" t="n"/>
      <c r="I267" s="17">
        <f>IF(OR(E267="",H267=""),"",E267*H267)</f>
        <v/>
      </c>
      <c r="J267" s="9" t="n"/>
    </row>
    <row r="268">
      <c r="B268" s="11" t="n"/>
      <c r="C268" s="9" t="n"/>
      <c r="D268" s="9" t="n"/>
      <c r="E268" s="10" t="n"/>
      <c r="F268" s="10" t="n"/>
      <c r="G268" s="13">
        <f>IF(E268="","",E268)</f>
        <v/>
      </c>
      <c r="H268" s="16" t="n"/>
      <c r="I268" s="17">
        <f>IF(OR(E268="",H268=""),"",E268*H268)</f>
        <v/>
      </c>
      <c r="J268" s="9" t="n"/>
    </row>
    <row r="269">
      <c r="B269" s="11" t="n"/>
      <c r="C269" s="9" t="n"/>
      <c r="D269" s="9" t="n"/>
      <c r="E269" s="10" t="n"/>
      <c r="F269" s="10" t="n"/>
      <c r="G269" s="13">
        <f>IF(E269="","",E269)</f>
        <v/>
      </c>
      <c r="H269" s="16" t="n"/>
      <c r="I269" s="17">
        <f>IF(OR(E269="",H269=""),"",E269*H269)</f>
        <v/>
      </c>
      <c r="J269" s="9" t="n"/>
    </row>
    <row r="270">
      <c r="B270" s="11" t="n"/>
      <c r="C270" s="9" t="n"/>
      <c r="D270" s="9" t="n"/>
      <c r="E270" s="10" t="n"/>
      <c r="F270" s="10" t="n"/>
      <c r="G270" s="13">
        <f>IF(E270="","",E270)</f>
        <v/>
      </c>
      <c r="H270" s="16" t="n"/>
      <c r="I270" s="17">
        <f>IF(OR(E270="",H270=""),"",E270*H270)</f>
        <v/>
      </c>
      <c r="J270" s="9" t="n"/>
    </row>
    <row r="271">
      <c r="B271" s="11" t="n"/>
      <c r="C271" s="9" t="n"/>
      <c r="D271" s="9" t="n"/>
      <c r="E271" s="10" t="n"/>
      <c r="F271" s="10" t="n"/>
      <c r="G271" s="13">
        <f>IF(E271="","",E271)</f>
        <v/>
      </c>
      <c r="H271" s="16" t="n"/>
      <c r="I271" s="17">
        <f>IF(OR(E271="",H271=""),"",E271*H271)</f>
        <v/>
      </c>
      <c r="J271" s="9" t="n"/>
    </row>
    <row r="272">
      <c r="B272" s="11" t="n"/>
      <c r="C272" s="9" t="n"/>
      <c r="D272" s="9" t="n"/>
      <c r="E272" s="10" t="n"/>
      <c r="F272" s="10" t="n"/>
      <c r="G272" s="13">
        <f>IF(E272="","",E272)</f>
        <v/>
      </c>
      <c r="H272" s="16" t="n"/>
      <c r="I272" s="17">
        <f>IF(OR(E272="",H272=""),"",E272*H272)</f>
        <v/>
      </c>
      <c r="J272" s="9" t="n"/>
    </row>
    <row r="273">
      <c r="B273" s="11" t="n"/>
      <c r="C273" s="9" t="n"/>
      <c r="D273" s="9" t="n"/>
      <c r="E273" s="10" t="n"/>
      <c r="F273" s="10" t="n"/>
      <c r="G273" s="13">
        <f>IF(E273="","",E273)</f>
        <v/>
      </c>
      <c r="H273" s="16" t="n"/>
      <c r="I273" s="17">
        <f>IF(OR(E273="",H273=""),"",E273*H273)</f>
        <v/>
      </c>
      <c r="J273" s="9" t="n"/>
    </row>
    <row r="274">
      <c r="B274" s="11" t="n"/>
      <c r="C274" s="9" t="n"/>
      <c r="D274" s="9" t="n"/>
      <c r="E274" s="10" t="n"/>
      <c r="F274" s="10" t="n"/>
      <c r="G274" s="13">
        <f>IF(E274="","",E274)</f>
        <v/>
      </c>
      <c r="H274" s="16" t="n"/>
      <c r="I274" s="17">
        <f>IF(OR(E274="",H274=""),"",E274*H274)</f>
        <v/>
      </c>
      <c r="J274" s="9" t="n"/>
    </row>
    <row r="275">
      <c r="B275" s="11" t="n"/>
      <c r="C275" s="9" t="n"/>
      <c r="D275" s="9" t="n"/>
      <c r="E275" s="10" t="n"/>
      <c r="F275" s="10" t="n"/>
      <c r="G275" s="13">
        <f>IF(E275="","",E275)</f>
        <v/>
      </c>
      <c r="H275" s="16" t="n"/>
      <c r="I275" s="17">
        <f>IF(OR(E275="",H275=""),"",E275*H275)</f>
        <v/>
      </c>
      <c r="J275" s="9" t="n"/>
    </row>
    <row r="276">
      <c r="B276" s="11" t="n"/>
      <c r="C276" s="9" t="n"/>
      <c r="D276" s="9" t="n"/>
      <c r="E276" s="10" t="n"/>
      <c r="F276" s="10" t="n"/>
      <c r="G276" s="13">
        <f>IF(E276="","",E276)</f>
        <v/>
      </c>
      <c r="H276" s="16" t="n"/>
      <c r="I276" s="17">
        <f>IF(OR(E276="",H276=""),"",E276*H276)</f>
        <v/>
      </c>
      <c r="J276" s="9" t="n"/>
    </row>
    <row r="277">
      <c r="B277" s="11" t="n"/>
      <c r="C277" s="9" t="n"/>
      <c r="D277" s="9" t="n"/>
      <c r="E277" s="10" t="n"/>
      <c r="F277" s="10" t="n"/>
      <c r="G277" s="13">
        <f>IF(E277="","",E277)</f>
        <v/>
      </c>
      <c r="H277" s="16" t="n"/>
      <c r="I277" s="17">
        <f>IF(OR(E277="",H277=""),"",E277*H277)</f>
        <v/>
      </c>
      <c r="J277" s="9" t="n"/>
    </row>
    <row r="278">
      <c r="B278" s="11" t="n"/>
      <c r="C278" s="9" t="n"/>
      <c r="D278" s="9" t="n"/>
      <c r="E278" s="10" t="n"/>
      <c r="F278" s="10" t="n"/>
      <c r="G278" s="13">
        <f>IF(E278="","",E278)</f>
        <v/>
      </c>
      <c r="H278" s="16" t="n"/>
      <c r="I278" s="17">
        <f>IF(OR(E278="",H278=""),"",E278*H278)</f>
        <v/>
      </c>
      <c r="J278" s="9" t="n"/>
    </row>
    <row r="279">
      <c r="B279" s="11" t="n"/>
      <c r="C279" s="9" t="n"/>
      <c r="D279" s="9" t="n"/>
      <c r="E279" s="10" t="n"/>
      <c r="F279" s="10" t="n"/>
      <c r="G279" s="13">
        <f>IF(E279="","",E279)</f>
        <v/>
      </c>
      <c r="H279" s="16" t="n"/>
      <c r="I279" s="17">
        <f>IF(OR(E279="",H279=""),"",E279*H279)</f>
        <v/>
      </c>
      <c r="J279" s="9" t="n"/>
    </row>
    <row r="280">
      <c r="B280" s="11" t="n"/>
      <c r="C280" s="9" t="n"/>
      <c r="D280" s="9" t="n"/>
      <c r="E280" s="10" t="n"/>
      <c r="F280" s="10" t="n"/>
      <c r="G280" s="13">
        <f>IF(E280="","",E280)</f>
        <v/>
      </c>
      <c r="H280" s="16" t="n"/>
      <c r="I280" s="17">
        <f>IF(OR(E280="",H280=""),"",E280*H280)</f>
        <v/>
      </c>
      <c r="J280" s="9" t="n"/>
    </row>
    <row r="281">
      <c r="B281" s="11" t="n"/>
      <c r="C281" s="9" t="n"/>
      <c r="D281" s="9" t="n"/>
      <c r="E281" s="10" t="n"/>
      <c r="F281" s="10" t="n"/>
      <c r="G281" s="13">
        <f>IF(E281="","",E281)</f>
        <v/>
      </c>
      <c r="H281" s="16" t="n"/>
      <c r="I281" s="17">
        <f>IF(OR(E281="",H281=""),"",E281*H281)</f>
        <v/>
      </c>
      <c r="J281" s="9" t="n"/>
    </row>
    <row r="282">
      <c r="B282" s="11" t="n"/>
      <c r="C282" s="9" t="n"/>
      <c r="D282" s="9" t="n"/>
      <c r="E282" s="10" t="n"/>
      <c r="F282" s="10" t="n"/>
      <c r="G282" s="13">
        <f>IF(E282="","",E282)</f>
        <v/>
      </c>
      <c r="H282" s="16" t="n"/>
      <c r="I282" s="17">
        <f>IF(OR(E282="",H282=""),"",E282*H282)</f>
        <v/>
      </c>
      <c r="J282" s="9" t="n"/>
    </row>
    <row r="283">
      <c r="B283" s="11" t="n"/>
      <c r="C283" s="9" t="n"/>
      <c r="D283" s="9" t="n"/>
      <c r="E283" s="10" t="n"/>
      <c r="F283" s="10" t="n"/>
      <c r="G283" s="13">
        <f>IF(E283="","",E283)</f>
        <v/>
      </c>
      <c r="H283" s="16" t="n"/>
      <c r="I283" s="17">
        <f>IF(OR(E283="",H283=""),"",E283*H283)</f>
        <v/>
      </c>
      <c r="J283" s="9" t="n"/>
    </row>
    <row r="284">
      <c r="B284" s="11" t="n"/>
      <c r="C284" s="9" t="n"/>
      <c r="D284" s="9" t="n"/>
      <c r="E284" s="10" t="n"/>
      <c r="F284" s="10" t="n"/>
      <c r="G284" s="13">
        <f>IF(E284="","",E284)</f>
        <v/>
      </c>
      <c r="H284" s="16" t="n"/>
      <c r="I284" s="17">
        <f>IF(OR(E284="",H284=""),"",E284*H284)</f>
        <v/>
      </c>
      <c r="J284" s="9" t="n"/>
    </row>
    <row r="285">
      <c r="B285" s="11" t="n"/>
      <c r="C285" s="9" t="n"/>
      <c r="D285" s="9" t="n"/>
      <c r="E285" s="10" t="n"/>
      <c r="F285" s="10" t="n"/>
      <c r="G285" s="13">
        <f>IF(E285="","",E285)</f>
        <v/>
      </c>
      <c r="H285" s="16" t="n"/>
      <c r="I285" s="17">
        <f>IF(OR(E285="",H285=""),"",E285*H285)</f>
        <v/>
      </c>
      <c r="J285" s="9" t="n"/>
    </row>
    <row r="286">
      <c r="B286" s="11" t="n"/>
      <c r="C286" s="9" t="n"/>
      <c r="D286" s="9" t="n"/>
      <c r="E286" s="10" t="n"/>
      <c r="F286" s="10" t="n"/>
      <c r="G286" s="13">
        <f>IF(E286="","",E286)</f>
        <v/>
      </c>
      <c r="H286" s="16" t="n"/>
      <c r="I286" s="17">
        <f>IF(OR(E286="",H286=""),"",E286*H286)</f>
        <v/>
      </c>
      <c r="J286" s="9" t="n"/>
    </row>
    <row r="287">
      <c r="B287" s="11" t="n"/>
      <c r="C287" s="9" t="n"/>
      <c r="D287" s="9" t="n"/>
      <c r="E287" s="10" t="n"/>
      <c r="F287" s="10" t="n"/>
      <c r="G287" s="13">
        <f>IF(E287="","",E287)</f>
        <v/>
      </c>
      <c r="H287" s="16" t="n"/>
      <c r="I287" s="17">
        <f>IF(OR(E287="",H287=""),"",E287*H287)</f>
        <v/>
      </c>
      <c r="J287" s="9" t="n"/>
    </row>
    <row r="288">
      <c r="B288" s="11" t="n"/>
      <c r="C288" s="9" t="n"/>
      <c r="D288" s="9" t="n"/>
      <c r="E288" s="10" t="n"/>
      <c r="F288" s="10" t="n"/>
      <c r="G288" s="13">
        <f>IF(E288="","",E288)</f>
        <v/>
      </c>
      <c r="H288" s="16" t="n"/>
      <c r="I288" s="17">
        <f>IF(OR(E288="",H288=""),"",E288*H288)</f>
        <v/>
      </c>
      <c r="J288" s="9" t="n"/>
    </row>
    <row r="289">
      <c r="B289" s="11" t="n"/>
      <c r="C289" s="9" t="n"/>
      <c r="D289" s="9" t="n"/>
      <c r="E289" s="10" t="n"/>
      <c r="F289" s="10" t="n"/>
      <c r="G289" s="13">
        <f>IF(E289="","",E289)</f>
        <v/>
      </c>
      <c r="H289" s="16" t="n"/>
      <c r="I289" s="17">
        <f>IF(OR(E289="",H289=""),"",E289*H289)</f>
        <v/>
      </c>
      <c r="J289" s="9" t="n"/>
    </row>
    <row r="290">
      <c r="B290" s="11" t="n"/>
      <c r="C290" s="9" t="n"/>
      <c r="D290" s="9" t="n"/>
      <c r="E290" s="10" t="n"/>
      <c r="F290" s="10" t="n"/>
      <c r="G290" s="13">
        <f>IF(E290="","",E290)</f>
        <v/>
      </c>
      <c r="H290" s="16" t="n"/>
      <c r="I290" s="17">
        <f>IF(OR(E290="",H290=""),"",E290*H290)</f>
        <v/>
      </c>
      <c r="J290" s="9" t="n"/>
    </row>
    <row r="291">
      <c r="B291" s="11" t="n"/>
      <c r="C291" s="9" t="n"/>
      <c r="D291" s="9" t="n"/>
      <c r="E291" s="10" t="n"/>
      <c r="F291" s="10" t="n"/>
      <c r="G291" s="13">
        <f>IF(E291="","",E291)</f>
        <v/>
      </c>
      <c r="H291" s="16" t="n"/>
      <c r="I291" s="17">
        <f>IF(OR(E291="",H291=""),"",E291*H291)</f>
        <v/>
      </c>
      <c r="J291" s="9" t="n"/>
    </row>
    <row r="292">
      <c r="B292" s="11" t="n"/>
      <c r="C292" s="9" t="n"/>
      <c r="D292" s="9" t="n"/>
      <c r="E292" s="10" t="n"/>
      <c r="F292" s="10" t="n"/>
      <c r="G292" s="13">
        <f>IF(E292="","",E292)</f>
        <v/>
      </c>
      <c r="H292" s="16" t="n"/>
      <c r="I292" s="17">
        <f>IF(OR(E292="",H292=""),"",E292*H292)</f>
        <v/>
      </c>
      <c r="J292" s="9" t="n"/>
    </row>
    <row r="293">
      <c r="B293" s="11" t="n"/>
      <c r="C293" s="9" t="n"/>
      <c r="D293" s="9" t="n"/>
      <c r="E293" s="10" t="n"/>
      <c r="F293" s="10" t="n"/>
      <c r="G293" s="13">
        <f>IF(E293="","",E293)</f>
        <v/>
      </c>
      <c r="H293" s="16" t="n"/>
      <c r="I293" s="17">
        <f>IF(OR(E293="",H293=""),"",E293*H293)</f>
        <v/>
      </c>
      <c r="J293" s="9" t="n"/>
    </row>
    <row r="294">
      <c r="B294" s="11" t="n"/>
      <c r="C294" s="9" t="n"/>
      <c r="D294" s="9" t="n"/>
      <c r="E294" s="10" t="n"/>
      <c r="F294" s="10" t="n"/>
      <c r="G294" s="13">
        <f>IF(E294="","",E294)</f>
        <v/>
      </c>
      <c r="H294" s="16" t="n"/>
      <c r="I294" s="17">
        <f>IF(OR(E294="",H294=""),"",E294*H294)</f>
        <v/>
      </c>
      <c r="J294" s="9" t="n"/>
    </row>
    <row r="295">
      <c r="B295" s="11" t="n"/>
      <c r="C295" s="9" t="n"/>
      <c r="D295" s="9" t="n"/>
      <c r="E295" s="10" t="n"/>
      <c r="F295" s="10" t="n"/>
      <c r="G295" s="13">
        <f>IF(E295="","",E295)</f>
        <v/>
      </c>
      <c r="H295" s="16" t="n"/>
      <c r="I295" s="17">
        <f>IF(OR(E295="",H295=""),"",E295*H295)</f>
        <v/>
      </c>
      <c r="J295" s="9" t="n"/>
    </row>
    <row r="296">
      <c r="B296" s="11" t="n"/>
      <c r="C296" s="9" t="n"/>
      <c r="D296" s="9" t="n"/>
      <c r="E296" s="10" t="n"/>
      <c r="F296" s="10" t="n"/>
      <c r="G296" s="13">
        <f>IF(E296="","",E296)</f>
        <v/>
      </c>
      <c r="H296" s="16" t="n"/>
      <c r="I296" s="17">
        <f>IF(OR(E296="",H296=""),"",E296*H296)</f>
        <v/>
      </c>
      <c r="J296" s="9" t="n"/>
    </row>
    <row r="297">
      <c r="B297" s="11" t="n"/>
      <c r="C297" s="9" t="n"/>
      <c r="D297" s="9" t="n"/>
      <c r="E297" s="10" t="n"/>
      <c r="F297" s="10" t="n"/>
      <c r="G297" s="13">
        <f>IF(E297="","",E297)</f>
        <v/>
      </c>
      <c r="H297" s="16" t="n"/>
      <c r="I297" s="17">
        <f>IF(OR(E297="",H297=""),"",E297*H297)</f>
        <v/>
      </c>
      <c r="J297" s="9" t="n"/>
    </row>
    <row r="298">
      <c r="B298" s="11" t="n"/>
      <c r="C298" s="9" t="n"/>
      <c r="D298" s="9" t="n"/>
      <c r="E298" s="10" t="n"/>
      <c r="F298" s="10" t="n"/>
      <c r="G298" s="13">
        <f>IF(E298="","",E298)</f>
        <v/>
      </c>
      <c r="H298" s="16" t="n"/>
      <c r="I298" s="17">
        <f>IF(OR(E298="",H298=""),"",E298*H298)</f>
        <v/>
      </c>
      <c r="J298" s="9" t="n"/>
    </row>
    <row r="299">
      <c r="B299" s="11" t="n"/>
      <c r="C299" s="9" t="n"/>
      <c r="D299" s="9" t="n"/>
      <c r="E299" s="10" t="n"/>
      <c r="F299" s="10" t="n"/>
      <c r="G299" s="13">
        <f>IF(E299="","",E299)</f>
        <v/>
      </c>
      <c r="H299" s="16" t="n"/>
      <c r="I299" s="17">
        <f>IF(OR(E299="",H299=""),"",E299*H299)</f>
        <v/>
      </c>
      <c r="J299" s="9" t="n"/>
    </row>
    <row r="300">
      <c r="B300" s="11" t="n"/>
      <c r="C300" s="9" t="n"/>
      <c r="D300" s="9" t="n"/>
      <c r="E300" s="10" t="n"/>
      <c r="F300" s="10" t="n"/>
      <c r="G300" s="13">
        <f>IF(E300="","",E300)</f>
        <v/>
      </c>
      <c r="H300" s="16" t="n"/>
      <c r="I300" s="17">
        <f>IF(OR(E300="",H300=""),"",E300*H300)</f>
        <v/>
      </c>
      <c r="J300" s="9" t="n"/>
    </row>
    <row r="301">
      <c r="B301" s="11" t="n"/>
      <c r="C301" s="9" t="n"/>
      <c r="D301" s="9" t="n"/>
      <c r="E301" s="10" t="n"/>
      <c r="F301" s="10" t="n"/>
      <c r="G301" s="13">
        <f>IF(E301="","",E301)</f>
        <v/>
      </c>
      <c r="H301" s="16" t="n"/>
      <c r="I301" s="17">
        <f>IF(OR(E301="",H301=""),"",E301*H301)</f>
        <v/>
      </c>
      <c r="J301" s="9" t="n"/>
    </row>
    <row r="302">
      <c r="B302" s="11" t="n"/>
      <c r="C302" s="9" t="n"/>
      <c r="D302" s="9" t="n"/>
      <c r="E302" s="10" t="n"/>
      <c r="F302" s="10" t="n"/>
      <c r="G302" s="13">
        <f>IF(E302="","",E302)</f>
        <v/>
      </c>
      <c r="H302" s="16" t="n"/>
      <c r="I302" s="17">
        <f>IF(OR(E302="",H302=""),"",E302*H302)</f>
        <v/>
      </c>
      <c r="J302" s="9" t="n"/>
    </row>
    <row r="303">
      <c r="B303" s="11" t="n"/>
      <c r="C303" s="9" t="n"/>
      <c r="D303" s="9" t="n"/>
      <c r="E303" s="10" t="n"/>
      <c r="F303" s="10" t="n"/>
      <c r="G303" s="13">
        <f>IF(E303="","",E303)</f>
        <v/>
      </c>
      <c r="H303" s="16" t="n"/>
      <c r="I303" s="17">
        <f>IF(OR(E303="",H303=""),"",E303*H303)</f>
        <v/>
      </c>
      <c r="J303" s="9" t="n"/>
    </row>
    <row r="304">
      <c r="B304" s="11" t="n"/>
      <c r="C304" s="9" t="n"/>
      <c r="D304" s="9" t="n"/>
      <c r="E304" s="10" t="n"/>
      <c r="F304" s="10" t="n"/>
      <c r="G304" s="13">
        <f>IF(E304="","",E304)</f>
        <v/>
      </c>
      <c r="H304" s="16" t="n"/>
      <c r="I304" s="17">
        <f>IF(OR(E304="",H304=""),"",E304*H304)</f>
        <v/>
      </c>
      <c r="J304" s="9" t="n"/>
    </row>
    <row r="305">
      <c r="B305" s="11" t="n"/>
      <c r="C305" s="9" t="n"/>
      <c r="D305" s="9" t="n"/>
      <c r="E305" s="10" t="n"/>
      <c r="F305" s="10" t="n"/>
      <c r="G305" s="13">
        <f>IF(E305="","",E305)</f>
        <v/>
      </c>
      <c r="H305" s="16" t="n"/>
      <c r="I305" s="17">
        <f>IF(OR(E305="",H305=""),"",E305*H305)</f>
        <v/>
      </c>
      <c r="J305" s="9" t="n"/>
    </row>
    <row r="307">
      <c r="B307" s="15" t="inlineStr">
        <is>
          <t>Zur Spalte „verkauft seit letztem Mal“: Wer einen Schacht wieder auffüllt, füllt genau die Menge nach, die verkauft wurde. Deshalb entspricht die Nachfüllmenge dem Absatz — vorausgesetzt, du füllst immer bis voll auf.</t>
        </is>
      </c>
    </row>
    <row r="308">
      <c r="B308" s="18" t="inlineStr">
        <is>
          <t>Ware, die du wegen Ablaufs entnimmst, gehört NICHT in diese Spalte. Trag sie als eigene Zeile mit dem Vermerk „Verderb“ in der Bemerkung ein, sonst erscheint ein Ladenhüter als Verkaufsschlager.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158"/>
  <sheetViews>
    <sheetView showGridLines="0" workbookViewId="0">
      <selection activeCell="A1" sqref="A1"/>
    </sheetView>
  </sheetViews>
  <sheetFormatPr baseColWidth="8" defaultRowHeight="15"/>
  <cols>
    <col width="2" customWidth="1" min="1" max="1"/>
    <col width="14" customWidth="1" min="2" max="2"/>
    <col width="10" customWidth="1" min="3" max="3"/>
    <col width="14" customWidth="1" min="4" max="4"/>
    <col width="14" customWidth="1" min="5" max="5"/>
    <col width="15" customWidth="1" min="6" max="6"/>
    <col width="16" customWidth="1" min="7" max="7"/>
    <col width="14" customWidth="1" min="8" max="8"/>
    <col width="30" customWidth="1" min="9" max="9"/>
  </cols>
  <sheetData>
    <row r="2">
      <c r="B2" s="6" t="inlineStr">
        <is>
          <t>Kassenabrechnung</t>
        </is>
      </c>
    </row>
    <row r="3">
      <c r="B3" s="7" t="inlineStr">
        <is>
          <t>Eine Zeile je Leerung. Zeigt, ob das, was in der Kasse liegt, zu dem passt, was aus dem Automaten heraus ist.</t>
        </is>
      </c>
    </row>
    <row r="5" ht="30" customHeight="1">
      <c r="B5" s="8" t="inlineStr">
        <is>
          <t>Datum</t>
        </is>
      </c>
      <c r="C5" s="8" t="inlineStr">
        <is>
          <t>Automat</t>
        </is>
      </c>
      <c r="D5" s="8" t="inlineStr">
        <is>
          <t>entnommen (€)</t>
        </is>
      </c>
      <c r="E5" s="8" t="inlineStr">
        <is>
          <t>Wechselgeld aufgefüllt (€)</t>
        </is>
      </c>
      <c r="F5" s="8" t="inlineStr">
        <is>
          <t>Einnahme netto Kasse</t>
        </is>
      </c>
      <c r="G5" s="8" t="inlineStr">
        <is>
          <t>Wareneinsatz laut Protokoll</t>
        </is>
      </c>
      <c r="H5" s="8" t="inlineStr">
        <is>
          <t>Rohertrag</t>
        </is>
      </c>
      <c r="I5" s="8" t="inlineStr">
        <is>
          <t>Bemerkung</t>
        </is>
      </c>
    </row>
    <row r="6">
      <c r="B6" s="11" t="n">
        <v>46239</v>
      </c>
      <c r="C6" s="9" t="inlineStr">
        <is>
          <t>A1</t>
        </is>
      </c>
      <c r="D6" s="16" t="n">
        <v>168.5</v>
      </c>
      <c r="E6" s="16" t="n">
        <v>20</v>
      </c>
      <c r="F6" s="17">
        <f>IF(D6="","",D6-E6)</f>
        <v/>
      </c>
      <c r="G6" s="17">
        <f>IF(D6="","",SUMIFS(Befüllprotokoll!$I$6:$I$305,Befüllprotokoll!$B$6:$B$305,$B6,Befüllprotokoll!$C$6:$C$305,$C6))</f>
        <v/>
      </c>
      <c r="H6" s="19">
        <f>IF(D6="","",F6-G6)</f>
        <v/>
      </c>
      <c r="I6" s="9" t="inlineStr">
        <is>
          <t>Zählwerk 1.842</t>
        </is>
      </c>
    </row>
    <row r="7">
      <c r="B7" s="11" t="n">
        <v>46239</v>
      </c>
      <c r="C7" s="9" t="inlineStr">
        <is>
          <t>A2</t>
        </is>
      </c>
      <c r="D7" s="16" t="n">
        <v>94</v>
      </c>
      <c r="E7" s="16" t="n">
        <v>10</v>
      </c>
      <c r="F7" s="17">
        <f>IF(D7="","",D7-E7)</f>
        <v/>
      </c>
      <c r="G7" s="17">
        <f>IF(D7="","",SUMIFS(Befüllprotokoll!$I$6:$I$305,Befüllprotokoll!$B$6:$B$305,$B7,Befüllprotokoll!$C$6:$C$305,$C7))</f>
        <v/>
      </c>
      <c r="H7" s="19">
        <f>IF(D7="","",F7-G7)</f>
        <v/>
      </c>
      <c r="I7" s="9" t="inlineStr"/>
    </row>
    <row r="8">
      <c r="B8" s="11" t="n"/>
      <c r="C8" s="9" t="n"/>
      <c r="D8" s="16" t="n"/>
      <c r="E8" s="16" t="n"/>
      <c r="F8" s="17">
        <f>IF(D8="","",D8-E8)</f>
        <v/>
      </c>
      <c r="G8" s="17">
        <f>IF(D8="","",SUMIFS(Befüllprotokoll!$I$6:$I$305,Befüllprotokoll!$B$6:$B$305,$B8,Befüllprotokoll!$C$6:$C$305,$C8))</f>
        <v/>
      </c>
      <c r="H8" s="19">
        <f>IF(D8="","",F8-G8)</f>
        <v/>
      </c>
      <c r="I8" s="9" t="n"/>
    </row>
    <row r="9">
      <c r="B9" s="11" t="n"/>
      <c r="C9" s="9" t="n"/>
      <c r="D9" s="16" t="n"/>
      <c r="E9" s="16" t="n"/>
      <c r="F9" s="17">
        <f>IF(D9="","",D9-E9)</f>
        <v/>
      </c>
      <c r="G9" s="17">
        <f>IF(D9="","",SUMIFS(Befüllprotokoll!$I$6:$I$305,Befüllprotokoll!$B$6:$B$305,$B9,Befüllprotokoll!$C$6:$C$305,$C9))</f>
        <v/>
      </c>
      <c r="H9" s="19">
        <f>IF(D9="","",F9-G9)</f>
        <v/>
      </c>
      <c r="I9" s="9" t="n"/>
    </row>
    <row r="10">
      <c r="B10" s="11" t="n"/>
      <c r="C10" s="9" t="n"/>
      <c r="D10" s="16" t="n"/>
      <c r="E10" s="16" t="n"/>
      <c r="F10" s="17">
        <f>IF(D10="","",D10-E10)</f>
        <v/>
      </c>
      <c r="G10" s="17">
        <f>IF(D10="","",SUMIFS(Befüllprotokoll!$I$6:$I$305,Befüllprotokoll!$B$6:$B$305,$B10,Befüllprotokoll!$C$6:$C$305,$C10))</f>
        <v/>
      </c>
      <c r="H10" s="19">
        <f>IF(D10="","",F10-G10)</f>
        <v/>
      </c>
      <c r="I10" s="9" t="n"/>
    </row>
    <row r="11">
      <c r="B11" s="11" t="n"/>
      <c r="C11" s="9" t="n"/>
      <c r="D11" s="16" t="n"/>
      <c r="E11" s="16" t="n"/>
      <c r="F11" s="17">
        <f>IF(D11="","",D11-E11)</f>
        <v/>
      </c>
      <c r="G11" s="17">
        <f>IF(D11="","",SUMIFS(Befüllprotokoll!$I$6:$I$305,Befüllprotokoll!$B$6:$B$305,$B11,Befüllprotokoll!$C$6:$C$305,$C11))</f>
        <v/>
      </c>
      <c r="H11" s="19">
        <f>IF(D11="","",F11-G11)</f>
        <v/>
      </c>
      <c r="I11" s="9" t="n"/>
    </row>
    <row r="12">
      <c r="B12" s="11" t="n"/>
      <c r="C12" s="9" t="n"/>
      <c r="D12" s="16" t="n"/>
      <c r="E12" s="16" t="n"/>
      <c r="F12" s="17">
        <f>IF(D12="","",D12-E12)</f>
        <v/>
      </c>
      <c r="G12" s="17">
        <f>IF(D12="","",SUMIFS(Befüllprotokoll!$I$6:$I$305,Befüllprotokoll!$B$6:$B$305,$B12,Befüllprotokoll!$C$6:$C$305,$C12))</f>
        <v/>
      </c>
      <c r="H12" s="19">
        <f>IF(D12="","",F12-G12)</f>
        <v/>
      </c>
      <c r="I12" s="9" t="n"/>
    </row>
    <row r="13">
      <c r="B13" s="11" t="n"/>
      <c r="C13" s="9" t="n"/>
      <c r="D13" s="16" t="n"/>
      <c r="E13" s="16" t="n"/>
      <c r="F13" s="17">
        <f>IF(D13="","",D13-E13)</f>
        <v/>
      </c>
      <c r="G13" s="17">
        <f>IF(D13="","",SUMIFS(Befüllprotokoll!$I$6:$I$305,Befüllprotokoll!$B$6:$B$305,$B13,Befüllprotokoll!$C$6:$C$305,$C13))</f>
        <v/>
      </c>
      <c r="H13" s="19">
        <f>IF(D13="","",F13-G13)</f>
        <v/>
      </c>
      <c r="I13" s="9" t="n"/>
    </row>
    <row r="14">
      <c r="B14" s="11" t="n"/>
      <c r="C14" s="9" t="n"/>
      <c r="D14" s="16" t="n"/>
      <c r="E14" s="16" t="n"/>
      <c r="F14" s="17">
        <f>IF(D14="","",D14-E14)</f>
        <v/>
      </c>
      <c r="G14" s="17">
        <f>IF(D14="","",SUMIFS(Befüllprotokoll!$I$6:$I$305,Befüllprotokoll!$B$6:$B$305,$B14,Befüllprotokoll!$C$6:$C$305,$C14))</f>
        <v/>
      </c>
      <c r="H14" s="19">
        <f>IF(D14="","",F14-G14)</f>
        <v/>
      </c>
      <c r="I14" s="9" t="n"/>
    </row>
    <row r="15">
      <c r="B15" s="11" t="n"/>
      <c r="C15" s="9" t="n"/>
      <c r="D15" s="16" t="n"/>
      <c r="E15" s="16" t="n"/>
      <c r="F15" s="17">
        <f>IF(D15="","",D15-E15)</f>
        <v/>
      </c>
      <c r="G15" s="17">
        <f>IF(D15="","",SUMIFS(Befüllprotokoll!$I$6:$I$305,Befüllprotokoll!$B$6:$B$305,$B15,Befüllprotokoll!$C$6:$C$305,$C15))</f>
        <v/>
      </c>
      <c r="H15" s="19">
        <f>IF(D15="","",F15-G15)</f>
        <v/>
      </c>
      <c r="I15" s="9" t="n"/>
    </row>
    <row r="16">
      <c r="B16" s="11" t="n"/>
      <c r="C16" s="9" t="n"/>
      <c r="D16" s="16" t="n"/>
      <c r="E16" s="16" t="n"/>
      <c r="F16" s="17">
        <f>IF(D16="","",D16-E16)</f>
        <v/>
      </c>
      <c r="G16" s="17">
        <f>IF(D16="","",SUMIFS(Befüllprotokoll!$I$6:$I$305,Befüllprotokoll!$B$6:$B$305,$B16,Befüllprotokoll!$C$6:$C$305,$C16))</f>
        <v/>
      </c>
      <c r="H16" s="19">
        <f>IF(D16="","",F16-G16)</f>
        <v/>
      </c>
      <c r="I16" s="9" t="n"/>
    </row>
    <row r="17">
      <c r="B17" s="11" t="n"/>
      <c r="C17" s="9" t="n"/>
      <c r="D17" s="16" t="n"/>
      <c r="E17" s="16" t="n"/>
      <c r="F17" s="17">
        <f>IF(D17="","",D17-E17)</f>
        <v/>
      </c>
      <c r="G17" s="17">
        <f>IF(D17="","",SUMIFS(Befüllprotokoll!$I$6:$I$305,Befüllprotokoll!$B$6:$B$305,$B17,Befüllprotokoll!$C$6:$C$305,$C17))</f>
        <v/>
      </c>
      <c r="H17" s="19">
        <f>IF(D17="","",F17-G17)</f>
        <v/>
      </c>
      <c r="I17" s="9" t="n"/>
    </row>
    <row r="18">
      <c r="B18" s="11" t="n"/>
      <c r="C18" s="9" t="n"/>
      <c r="D18" s="16" t="n"/>
      <c r="E18" s="16" t="n"/>
      <c r="F18" s="17">
        <f>IF(D18="","",D18-E18)</f>
        <v/>
      </c>
      <c r="G18" s="17">
        <f>IF(D18="","",SUMIFS(Befüllprotokoll!$I$6:$I$305,Befüllprotokoll!$B$6:$B$305,$B18,Befüllprotokoll!$C$6:$C$305,$C18))</f>
        <v/>
      </c>
      <c r="H18" s="19">
        <f>IF(D18="","",F18-G18)</f>
        <v/>
      </c>
      <c r="I18" s="9" t="n"/>
    </row>
    <row r="19">
      <c r="B19" s="11" t="n"/>
      <c r="C19" s="9" t="n"/>
      <c r="D19" s="16" t="n"/>
      <c r="E19" s="16" t="n"/>
      <c r="F19" s="17">
        <f>IF(D19="","",D19-E19)</f>
        <v/>
      </c>
      <c r="G19" s="17">
        <f>IF(D19="","",SUMIFS(Befüllprotokoll!$I$6:$I$305,Befüllprotokoll!$B$6:$B$305,$B19,Befüllprotokoll!$C$6:$C$305,$C19))</f>
        <v/>
      </c>
      <c r="H19" s="19">
        <f>IF(D19="","",F19-G19)</f>
        <v/>
      </c>
      <c r="I19" s="9" t="n"/>
    </row>
    <row r="20">
      <c r="B20" s="11" t="n"/>
      <c r="C20" s="9" t="n"/>
      <c r="D20" s="16" t="n"/>
      <c r="E20" s="16" t="n"/>
      <c r="F20" s="17">
        <f>IF(D20="","",D20-E20)</f>
        <v/>
      </c>
      <c r="G20" s="17">
        <f>IF(D20="","",SUMIFS(Befüllprotokoll!$I$6:$I$305,Befüllprotokoll!$B$6:$B$305,$B20,Befüllprotokoll!$C$6:$C$305,$C20))</f>
        <v/>
      </c>
      <c r="H20" s="19">
        <f>IF(D20="","",F20-G20)</f>
        <v/>
      </c>
      <c r="I20" s="9" t="n"/>
    </row>
    <row r="21">
      <c r="B21" s="11" t="n"/>
      <c r="C21" s="9" t="n"/>
      <c r="D21" s="16" t="n"/>
      <c r="E21" s="16" t="n"/>
      <c r="F21" s="17">
        <f>IF(D21="","",D21-E21)</f>
        <v/>
      </c>
      <c r="G21" s="17">
        <f>IF(D21="","",SUMIFS(Befüllprotokoll!$I$6:$I$305,Befüllprotokoll!$B$6:$B$305,$B21,Befüllprotokoll!$C$6:$C$305,$C21))</f>
        <v/>
      </c>
      <c r="H21" s="19">
        <f>IF(D21="","",F21-G21)</f>
        <v/>
      </c>
      <c r="I21" s="9" t="n"/>
    </row>
    <row r="22">
      <c r="B22" s="11" t="n"/>
      <c r="C22" s="9" t="n"/>
      <c r="D22" s="16" t="n"/>
      <c r="E22" s="16" t="n"/>
      <c r="F22" s="17">
        <f>IF(D22="","",D22-E22)</f>
        <v/>
      </c>
      <c r="G22" s="17">
        <f>IF(D22="","",SUMIFS(Befüllprotokoll!$I$6:$I$305,Befüllprotokoll!$B$6:$B$305,$B22,Befüllprotokoll!$C$6:$C$305,$C22))</f>
        <v/>
      </c>
      <c r="H22" s="19">
        <f>IF(D22="","",F22-G22)</f>
        <v/>
      </c>
      <c r="I22" s="9" t="n"/>
    </row>
    <row r="23">
      <c r="B23" s="11" t="n"/>
      <c r="C23" s="9" t="n"/>
      <c r="D23" s="16" t="n"/>
      <c r="E23" s="16" t="n"/>
      <c r="F23" s="17">
        <f>IF(D23="","",D23-E23)</f>
        <v/>
      </c>
      <c r="G23" s="17">
        <f>IF(D23="","",SUMIFS(Befüllprotokoll!$I$6:$I$305,Befüllprotokoll!$B$6:$B$305,$B23,Befüllprotokoll!$C$6:$C$305,$C23))</f>
        <v/>
      </c>
      <c r="H23" s="19">
        <f>IF(D23="","",F23-G23)</f>
        <v/>
      </c>
      <c r="I23" s="9" t="n"/>
    </row>
    <row r="24">
      <c r="B24" s="11" t="n"/>
      <c r="C24" s="9" t="n"/>
      <c r="D24" s="16" t="n"/>
      <c r="E24" s="16" t="n"/>
      <c r="F24" s="17">
        <f>IF(D24="","",D24-E24)</f>
        <v/>
      </c>
      <c r="G24" s="17">
        <f>IF(D24="","",SUMIFS(Befüllprotokoll!$I$6:$I$305,Befüllprotokoll!$B$6:$B$305,$B24,Befüllprotokoll!$C$6:$C$305,$C24))</f>
        <v/>
      </c>
      <c r="H24" s="19">
        <f>IF(D24="","",F24-G24)</f>
        <v/>
      </c>
      <c r="I24" s="9" t="n"/>
    </row>
    <row r="25">
      <c r="B25" s="11" t="n"/>
      <c r="C25" s="9" t="n"/>
      <c r="D25" s="16" t="n"/>
      <c r="E25" s="16" t="n"/>
      <c r="F25" s="17">
        <f>IF(D25="","",D25-E25)</f>
        <v/>
      </c>
      <c r="G25" s="17">
        <f>IF(D25="","",SUMIFS(Befüllprotokoll!$I$6:$I$305,Befüllprotokoll!$B$6:$B$305,$B25,Befüllprotokoll!$C$6:$C$305,$C25))</f>
        <v/>
      </c>
      <c r="H25" s="19">
        <f>IF(D25="","",F25-G25)</f>
        <v/>
      </c>
      <c r="I25" s="9" t="n"/>
    </row>
    <row r="26">
      <c r="B26" s="11" t="n"/>
      <c r="C26" s="9" t="n"/>
      <c r="D26" s="16" t="n"/>
      <c r="E26" s="16" t="n"/>
      <c r="F26" s="17">
        <f>IF(D26="","",D26-E26)</f>
        <v/>
      </c>
      <c r="G26" s="17">
        <f>IF(D26="","",SUMIFS(Befüllprotokoll!$I$6:$I$305,Befüllprotokoll!$B$6:$B$305,$B26,Befüllprotokoll!$C$6:$C$305,$C26))</f>
        <v/>
      </c>
      <c r="H26" s="19">
        <f>IF(D26="","",F26-G26)</f>
        <v/>
      </c>
      <c r="I26" s="9" t="n"/>
    </row>
    <row r="27">
      <c r="B27" s="11" t="n"/>
      <c r="C27" s="9" t="n"/>
      <c r="D27" s="16" t="n"/>
      <c r="E27" s="16" t="n"/>
      <c r="F27" s="17">
        <f>IF(D27="","",D27-E27)</f>
        <v/>
      </c>
      <c r="G27" s="17">
        <f>IF(D27="","",SUMIFS(Befüllprotokoll!$I$6:$I$305,Befüllprotokoll!$B$6:$B$305,$B27,Befüllprotokoll!$C$6:$C$305,$C27))</f>
        <v/>
      </c>
      <c r="H27" s="19">
        <f>IF(D27="","",F27-G27)</f>
        <v/>
      </c>
      <c r="I27" s="9" t="n"/>
    </row>
    <row r="28">
      <c r="B28" s="11" t="n"/>
      <c r="C28" s="9" t="n"/>
      <c r="D28" s="16" t="n"/>
      <c r="E28" s="16" t="n"/>
      <c r="F28" s="17">
        <f>IF(D28="","",D28-E28)</f>
        <v/>
      </c>
      <c r="G28" s="17">
        <f>IF(D28="","",SUMIFS(Befüllprotokoll!$I$6:$I$305,Befüllprotokoll!$B$6:$B$305,$B28,Befüllprotokoll!$C$6:$C$305,$C28))</f>
        <v/>
      </c>
      <c r="H28" s="19">
        <f>IF(D28="","",F28-G28)</f>
        <v/>
      </c>
      <c r="I28" s="9" t="n"/>
    </row>
    <row r="29">
      <c r="B29" s="11" t="n"/>
      <c r="C29" s="9" t="n"/>
      <c r="D29" s="16" t="n"/>
      <c r="E29" s="16" t="n"/>
      <c r="F29" s="17">
        <f>IF(D29="","",D29-E29)</f>
        <v/>
      </c>
      <c r="G29" s="17">
        <f>IF(D29="","",SUMIFS(Befüllprotokoll!$I$6:$I$305,Befüllprotokoll!$B$6:$B$305,$B29,Befüllprotokoll!$C$6:$C$305,$C29))</f>
        <v/>
      </c>
      <c r="H29" s="19">
        <f>IF(D29="","",F29-G29)</f>
        <v/>
      </c>
      <c r="I29" s="9" t="n"/>
    </row>
    <row r="30">
      <c r="B30" s="11" t="n"/>
      <c r="C30" s="9" t="n"/>
      <c r="D30" s="16" t="n"/>
      <c r="E30" s="16" t="n"/>
      <c r="F30" s="17">
        <f>IF(D30="","",D30-E30)</f>
        <v/>
      </c>
      <c r="G30" s="17">
        <f>IF(D30="","",SUMIFS(Befüllprotokoll!$I$6:$I$305,Befüllprotokoll!$B$6:$B$305,$B30,Befüllprotokoll!$C$6:$C$305,$C30))</f>
        <v/>
      </c>
      <c r="H30" s="19">
        <f>IF(D30="","",F30-G30)</f>
        <v/>
      </c>
      <c r="I30" s="9" t="n"/>
    </row>
    <row r="31">
      <c r="B31" s="11" t="n"/>
      <c r="C31" s="9" t="n"/>
      <c r="D31" s="16" t="n"/>
      <c r="E31" s="16" t="n"/>
      <c r="F31" s="17">
        <f>IF(D31="","",D31-E31)</f>
        <v/>
      </c>
      <c r="G31" s="17">
        <f>IF(D31="","",SUMIFS(Befüllprotokoll!$I$6:$I$305,Befüllprotokoll!$B$6:$B$305,$B31,Befüllprotokoll!$C$6:$C$305,$C31))</f>
        <v/>
      </c>
      <c r="H31" s="19">
        <f>IF(D31="","",F31-G31)</f>
        <v/>
      </c>
      <c r="I31" s="9" t="n"/>
    </row>
    <row r="32">
      <c r="B32" s="11" t="n"/>
      <c r="C32" s="9" t="n"/>
      <c r="D32" s="16" t="n"/>
      <c r="E32" s="16" t="n"/>
      <c r="F32" s="17">
        <f>IF(D32="","",D32-E32)</f>
        <v/>
      </c>
      <c r="G32" s="17">
        <f>IF(D32="","",SUMIFS(Befüllprotokoll!$I$6:$I$305,Befüllprotokoll!$B$6:$B$305,$B32,Befüllprotokoll!$C$6:$C$305,$C32))</f>
        <v/>
      </c>
      <c r="H32" s="19">
        <f>IF(D32="","",F32-G32)</f>
        <v/>
      </c>
      <c r="I32" s="9" t="n"/>
    </row>
    <row r="33">
      <c r="B33" s="11" t="n"/>
      <c r="C33" s="9" t="n"/>
      <c r="D33" s="16" t="n"/>
      <c r="E33" s="16" t="n"/>
      <c r="F33" s="17">
        <f>IF(D33="","",D33-E33)</f>
        <v/>
      </c>
      <c r="G33" s="17">
        <f>IF(D33="","",SUMIFS(Befüllprotokoll!$I$6:$I$305,Befüllprotokoll!$B$6:$B$305,$B33,Befüllprotokoll!$C$6:$C$305,$C33))</f>
        <v/>
      </c>
      <c r="H33" s="19">
        <f>IF(D33="","",F33-G33)</f>
        <v/>
      </c>
      <c r="I33" s="9" t="n"/>
    </row>
    <row r="34">
      <c r="B34" s="11" t="n"/>
      <c r="C34" s="9" t="n"/>
      <c r="D34" s="16" t="n"/>
      <c r="E34" s="16" t="n"/>
      <c r="F34" s="17">
        <f>IF(D34="","",D34-E34)</f>
        <v/>
      </c>
      <c r="G34" s="17">
        <f>IF(D34="","",SUMIFS(Befüllprotokoll!$I$6:$I$305,Befüllprotokoll!$B$6:$B$305,$B34,Befüllprotokoll!$C$6:$C$305,$C34))</f>
        <v/>
      </c>
      <c r="H34" s="19">
        <f>IF(D34="","",F34-G34)</f>
        <v/>
      </c>
      <c r="I34" s="9" t="n"/>
    </row>
    <row r="35">
      <c r="B35" s="11" t="n"/>
      <c r="C35" s="9" t="n"/>
      <c r="D35" s="16" t="n"/>
      <c r="E35" s="16" t="n"/>
      <c r="F35" s="17">
        <f>IF(D35="","",D35-E35)</f>
        <v/>
      </c>
      <c r="G35" s="17">
        <f>IF(D35="","",SUMIFS(Befüllprotokoll!$I$6:$I$305,Befüllprotokoll!$B$6:$B$305,$B35,Befüllprotokoll!$C$6:$C$305,$C35))</f>
        <v/>
      </c>
      <c r="H35" s="19">
        <f>IF(D35="","",F35-G35)</f>
        <v/>
      </c>
      <c r="I35" s="9" t="n"/>
    </row>
    <row r="36">
      <c r="B36" s="11" t="n"/>
      <c r="C36" s="9" t="n"/>
      <c r="D36" s="16" t="n"/>
      <c r="E36" s="16" t="n"/>
      <c r="F36" s="17">
        <f>IF(D36="","",D36-E36)</f>
        <v/>
      </c>
      <c r="G36" s="17">
        <f>IF(D36="","",SUMIFS(Befüllprotokoll!$I$6:$I$305,Befüllprotokoll!$B$6:$B$305,$B36,Befüllprotokoll!$C$6:$C$305,$C36))</f>
        <v/>
      </c>
      <c r="H36" s="19">
        <f>IF(D36="","",F36-G36)</f>
        <v/>
      </c>
      <c r="I36" s="9" t="n"/>
    </row>
    <row r="37">
      <c r="B37" s="11" t="n"/>
      <c r="C37" s="9" t="n"/>
      <c r="D37" s="16" t="n"/>
      <c r="E37" s="16" t="n"/>
      <c r="F37" s="17">
        <f>IF(D37="","",D37-E37)</f>
        <v/>
      </c>
      <c r="G37" s="17">
        <f>IF(D37="","",SUMIFS(Befüllprotokoll!$I$6:$I$305,Befüllprotokoll!$B$6:$B$305,$B37,Befüllprotokoll!$C$6:$C$305,$C37))</f>
        <v/>
      </c>
      <c r="H37" s="19">
        <f>IF(D37="","",F37-G37)</f>
        <v/>
      </c>
      <c r="I37" s="9" t="n"/>
    </row>
    <row r="38">
      <c r="B38" s="11" t="n"/>
      <c r="C38" s="9" t="n"/>
      <c r="D38" s="16" t="n"/>
      <c r="E38" s="16" t="n"/>
      <c r="F38" s="17">
        <f>IF(D38="","",D38-E38)</f>
        <v/>
      </c>
      <c r="G38" s="17">
        <f>IF(D38="","",SUMIFS(Befüllprotokoll!$I$6:$I$305,Befüllprotokoll!$B$6:$B$305,$B38,Befüllprotokoll!$C$6:$C$305,$C38))</f>
        <v/>
      </c>
      <c r="H38" s="19">
        <f>IF(D38="","",F38-G38)</f>
        <v/>
      </c>
      <c r="I38" s="9" t="n"/>
    </row>
    <row r="39">
      <c r="B39" s="11" t="n"/>
      <c r="C39" s="9" t="n"/>
      <c r="D39" s="16" t="n"/>
      <c r="E39" s="16" t="n"/>
      <c r="F39" s="17">
        <f>IF(D39="","",D39-E39)</f>
        <v/>
      </c>
      <c r="G39" s="17">
        <f>IF(D39="","",SUMIFS(Befüllprotokoll!$I$6:$I$305,Befüllprotokoll!$B$6:$B$305,$B39,Befüllprotokoll!$C$6:$C$305,$C39))</f>
        <v/>
      </c>
      <c r="H39" s="19">
        <f>IF(D39="","",F39-G39)</f>
        <v/>
      </c>
      <c r="I39" s="9" t="n"/>
    </row>
    <row r="40">
      <c r="B40" s="11" t="n"/>
      <c r="C40" s="9" t="n"/>
      <c r="D40" s="16" t="n"/>
      <c r="E40" s="16" t="n"/>
      <c r="F40" s="17">
        <f>IF(D40="","",D40-E40)</f>
        <v/>
      </c>
      <c r="G40" s="17">
        <f>IF(D40="","",SUMIFS(Befüllprotokoll!$I$6:$I$305,Befüllprotokoll!$B$6:$B$305,$B40,Befüllprotokoll!$C$6:$C$305,$C40))</f>
        <v/>
      </c>
      <c r="H40" s="19">
        <f>IF(D40="","",F40-G40)</f>
        <v/>
      </c>
      <c r="I40" s="9" t="n"/>
    </row>
    <row r="41">
      <c r="B41" s="11" t="n"/>
      <c r="C41" s="9" t="n"/>
      <c r="D41" s="16" t="n"/>
      <c r="E41" s="16" t="n"/>
      <c r="F41" s="17">
        <f>IF(D41="","",D41-E41)</f>
        <v/>
      </c>
      <c r="G41" s="17">
        <f>IF(D41="","",SUMIFS(Befüllprotokoll!$I$6:$I$305,Befüllprotokoll!$B$6:$B$305,$B41,Befüllprotokoll!$C$6:$C$305,$C41))</f>
        <v/>
      </c>
      <c r="H41" s="19">
        <f>IF(D41="","",F41-G41)</f>
        <v/>
      </c>
      <c r="I41" s="9" t="n"/>
    </row>
    <row r="42">
      <c r="B42" s="11" t="n"/>
      <c r="C42" s="9" t="n"/>
      <c r="D42" s="16" t="n"/>
      <c r="E42" s="16" t="n"/>
      <c r="F42" s="17">
        <f>IF(D42="","",D42-E42)</f>
        <v/>
      </c>
      <c r="G42" s="17">
        <f>IF(D42="","",SUMIFS(Befüllprotokoll!$I$6:$I$305,Befüllprotokoll!$B$6:$B$305,$B42,Befüllprotokoll!$C$6:$C$305,$C42))</f>
        <v/>
      </c>
      <c r="H42" s="19">
        <f>IF(D42="","",F42-G42)</f>
        <v/>
      </c>
      <c r="I42" s="9" t="n"/>
    </row>
    <row r="43">
      <c r="B43" s="11" t="n"/>
      <c r="C43" s="9" t="n"/>
      <c r="D43" s="16" t="n"/>
      <c r="E43" s="16" t="n"/>
      <c r="F43" s="17">
        <f>IF(D43="","",D43-E43)</f>
        <v/>
      </c>
      <c r="G43" s="17">
        <f>IF(D43="","",SUMIFS(Befüllprotokoll!$I$6:$I$305,Befüllprotokoll!$B$6:$B$305,$B43,Befüllprotokoll!$C$6:$C$305,$C43))</f>
        <v/>
      </c>
      <c r="H43" s="19">
        <f>IF(D43="","",F43-G43)</f>
        <v/>
      </c>
      <c r="I43" s="9" t="n"/>
    </row>
    <row r="44">
      <c r="B44" s="11" t="n"/>
      <c r="C44" s="9" t="n"/>
      <c r="D44" s="16" t="n"/>
      <c r="E44" s="16" t="n"/>
      <c r="F44" s="17">
        <f>IF(D44="","",D44-E44)</f>
        <v/>
      </c>
      <c r="G44" s="17">
        <f>IF(D44="","",SUMIFS(Befüllprotokoll!$I$6:$I$305,Befüllprotokoll!$B$6:$B$305,$B44,Befüllprotokoll!$C$6:$C$305,$C44))</f>
        <v/>
      </c>
      <c r="H44" s="19">
        <f>IF(D44="","",F44-G44)</f>
        <v/>
      </c>
      <c r="I44" s="9" t="n"/>
    </row>
    <row r="45">
      <c r="B45" s="11" t="n"/>
      <c r="C45" s="9" t="n"/>
      <c r="D45" s="16" t="n"/>
      <c r="E45" s="16" t="n"/>
      <c r="F45" s="17">
        <f>IF(D45="","",D45-E45)</f>
        <v/>
      </c>
      <c r="G45" s="17">
        <f>IF(D45="","",SUMIFS(Befüllprotokoll!$I$6:$I$305,Befüllprotokoll!$B$6:$B$305,$B45,Befüllprotokoll!$C$6:$C$305,$C45))</f>
        <v/>
      </c>
      <c r="H45" s="19">
        <f>IF(D45="","",F45-G45)</f>
        <v/>
      </c>
      <c r="I45" s="9" t="n"/>
    </row>
    <row r="46">
      <c r="B46" s="11" t="n"/>
      <c r="C46" s="9" t="n"/>
      <c r="D46" s="16" t="n"/>
      <c r="E46" s="16" t="n"/>
      <c r="F46" s="17">
        <f>IF(D46="","",D46-E46)</f>
        <v/>
      </c>
      <c r="G46" s="17">
        <f>IF(D46="","",SUMIFS(Befüllprotokoll!$I$6:$I$305,Befüllprotokoll!$B$6:$B$305,$B46,Befüllprotokoll!$C$6:$C$305,$C46))</f>
        <v/>
      </c>
      <c r="H46" s="19">
        <f>IF(D46="","",F46-G46)</f>
        <v/>
      </c>
      <c r="I46" s="9" t="n"/>
    </row>
    <row r="47">
      <c r="B47" s="11" t="n"/>
      <c r="C47" s="9" t="n"/>
      <c r="D47" s="16" t="n"/>
      <c r="E47" s="16" t="n"/>
      <c r="F47" s="17">
        <f>IF(D47="","",D47-E47)</f>
        <v/>
      </c>
      <c r="G47" s="17">
        <f>IF(D47="","",SUMIFS(Befüllprotokoll!$I$6:$I$305,Befüllprotokoll!$B$6:$B$305,$B47,Befüllprotokoll!$C$6:$C$305,$C47))</f>
        <v/>
      </c>
      <c r="H47" s="19">
        <f>IF(D47="","",F47-G47)</f>
        <v/>
      </c>
      <c r="I47" s="9" t="n"/>
    </row>
    <row r="48">
      <c r="B48" s="11" t="n"/>
      <c r="C48" s="9" t="n"/>
      <c r="D48" s="16" t="n"/>
      <c r="E48" s="16" t="n"/>
      <c r="F48" s="17">
        <f>IF(D48="","",D48-E48)</f>
        <v/>
      </c>
      <c r="G48" s="17">
        <f>IF(D48="","",SUMIFS(Befüllprotokoll!$I$6:$I$305,Befüllprotokoll!$B$6:$B$305,$B48,Befüllprotokoll!$C$6:$C$305,$C48))</f>
        <v/>
      </c>
      <c r="H48" s="19">
        <f>IF(D48="","",F48-G48)</f>
        <v/>
      </c>
      <c r="I48" s="9" t="n"/>
    </row>
    <row r="49">
      <c r="B49" s="11" t="n"/>
      <c r="C49" s="9" t="n"/>
      <c r="D49" s="16" t="n"/>
      <c r="E49" s="16" t="n"/>
      <c r="F49" s="17">
        <f>IF(D49="","",D49-E49)</f>
        <v/>
      </c>
      <c r="G49" s="17">
        <f>IF(D49="","",SUMIFS(Befüllprotokoll!$I$6:$I$305,Befüllprotokoll!$B$6:$B$305,$B49,Befüllprotokoll!$C$6:$C$305,$C49))</f>
        <v/>
      </c>
      <c r="H49" s="19">
        <f>IF(D49="","",F49-G49)</f>
        <v/>
      </c>
      <c r="I49" s="9" t="n"/>
    </row>
    <row r="50">
      <c r="B50" s="11" t="n"/>
      <c r="C50" s="9" t="n"/>
      <c r="D50" s="16" t="n"/>
      <c r="E50" s="16" t="n"/>
      <c r="F50" s="17">
        <f>IF(D50="","",D50-E50)</f>
        <v/>
      </c>
      <c r="G50" s="17">
        <f>IF(D50="","",SUMIFS(Befüllprotokoll!$I$6:$I$305,Befüllprotokoll!$B$6:$B$305,$B50,Befüllprotokoll!$C$6:$C$305,$C50))</f>
        <v/>
      </c>
      <c r="H50" s="19">
        <f>IF(D50="","",F50-G50)</f>
        <v/>
      </c>
      <c r="I50" s="9" t="n"/>
    </row>
    <row r="51">
      <c r="B51" s="11" t="n"/>
      <c r="C51" s="9" t="n"/>
      <c r="D51" s="16" t="n"/>
      <c r="E51" s="16" t="n"/>
      <c r="F51" s="17">
        <f>IF(D51="","",D51-E51)</f>
        <v/>
      </c>
      <c r="G51" s="17">
        <f>IF(D51="","",SUMIFS(Befüllprotokoll!$I$6:$I$305,Befüllprotokoll!$B$6:$B$305,$B51,Befüllprotokoll!$C$6:$C$305,$C51))</f>
        <v/>
      </c>
      <c r="H51" s="19">
        <f>IF(D51="","",F51-G51)</f>
        <v/>
      </c>
      <c r="I51" s="9" t="n"/>
    </row>
    <row r="52">
      <c r="B52" s="11" t="n"/>
      <c r="C52" s="9" t="n"/>
      <c r="D52" s="16" t="n"/>
      <c r="E52" s="16" t="n"/>
      <c r="F52" s="17">
        <f>IF(D52="","",D52-E52)</f>
        <v/>
      </c>
      <c r="G52" s="17">
        <f>IF(D52="","",SUMIFS(Befüllprotokoll!$I$6:$I$305,Befüllprotokoll!$B$6:$B$305,$B52,Befüllprotokoll!$C$6:$C$305,$C52))</f>
        <v/>
      </c>
      <c r="H52" s="19">
        <f>IF(D52="","",F52-G52)</f>
        <v/>
      </c>
      <c r="I52" s="9" t="n"/>
    </row>
    <row r="53">
      <c r="B53" s="11" t="n"/>
      <c r="C53" s="9" t="n"/>
      <c r="D53" s="16" t="n"/>
      <c r="E53" s="16" t="n"/>
      <c r="F53" s="17">
        <f>IF(D53="","",D53-E53)</f>
        <v/>
      </c>
      <c r="G53" s="17">
        <f>IF(D53="","",SUMIFS(Befüllprotokoll!$I$6:$I$305,Befüllprotokoll!$B$6:$B$305,$B53,Befüllprotokoll!$C$6:$C$305,$C53))</f>
        <v/>
      </c>
      <c r="H53" s="19">
        <f>IF(D53="","",F53-G53)</f>
        <v/>
      </c>
      <c r="I53" s="9" t="n"/>
    </row>
    <row r="54">
      <c r="B54" s="11" t="n"/>
      <c r="C54" s="9" t="n"/>
      <c r="D54" s="16" t="n"/>
      <c r="E54" s="16" t="n"/>
      <c r="F54" s="17">
        <f>IF(D54="","",D54-E54)</f>
        <v/>
      </c>
      <c r="G54" s="17">
        <f>IF(D54="","",SUMIFS(Befüllprotokoll!$I$6:$I$305,Befüllprotokoll!$B$6:$B$305,$B54,Befüllprotokoll!$C$6:$C$305,$C54))</f>
        <v/>
      </c>
      <c r="H54" s="19">
        <f>IF(D54="","",F54-G54)</f>
        <v/>
      </c>
      <c r="I54" s="9" t="n"/>
    </row>
    <row r="55">
      <c r="B55" s="11" t="n"/>
      <c r="C55" s="9" t="n"/>
      <c r="D55" s="16" t="n"/>
      <c r="E55" s="16" t="n"/>
      <c r="F55" s="17">
        <f>IF(D55="","",D55-E55)</f>
        <v/>
      </c>
      <c r="G55" s="17">
        <f>IF(D55="","",SUMIFS(Befüllprotokoll!$I$6:$I$305,Befüllprotokoll!$B$6:$B$305,$B55,Befüllprotokoll!$C$6:$C$305,$C55))</f>
        <v/>
      </c>
      <c r="H55" s="19">
        <f>IF(D55="","",F55-G55)</f>
        <v/>
      </c>
      <c r="I55" s="9" t="n"/>
    </row>
    <row r="56">
      <c r="B56" s="11" t="n"/>
      <c r="C56" s="9" t="n"/>
      <c r="D56" s="16" t="n"/>
      <c r="E56" s="16" t="n"/>
      <c r="F56" s="17">
        <f>IF(D56="","",D56-E56)</f>
        <v/>
      </c>
      <c r="G56" s="17">
        <f>IF(D56="","",SUMIFS(Befüllprotokoll!$I$6:$I$305,Befüllprotokoll!$B$6:$B$305,$B56,Befüllprotokoll!$C$6:$C$305,$C56))</f>
        <v/>
      </c>
      <c r="H56" s="19">
        <f>IF(D56="","",F56-G56)</f>
        <v/>
      </c>
      <c r="I56" s="9" t="n"/>
    </row>
    <row r="57">
      <c r="B57" s="11" t="n"/>
      <c r="C57" s="9" t="n"/>
      <c r="D57" s="16" t="n"/>
      <c r="E57" s="16" t="n"/>
      <c r="F57" s="17">
        <f>IF(D57="","",D57-E57)</f>
        <v/>
      </c>
      <c r="G57" s="17">
        <f>IF(D57="","",SUMIFS(Befüllprotokoll!$I$6:$I$305,Befüllprotokoll!$B$6:$B$305,$B57,Befüllprotokoll!$C$6:$C$305,$C57))</f>
        <v/>
      </c>
      <c r="H57" s="19">
        <f>IF(D57="","",F57-G57)</f>
        <v/>
      </c>
      <c r="I57" s="9" t="n"/>
    </row>
    <row r="58">
      <c r="B58" s="11" t="n"/>
      <c r="C58" s="9" t="n"/>
      <c r="D58" s="16" t="n"/>
      <c r="E58" s="16" t="n"/>
      <c r="F58" s="17">
        <f>IF(D58="","",D58-E58)</f>
        <v/>
      </c>
      <c r="G58" s="17">
        <f>IF(D58="","",SUMIFS(Befüllprotokoll!$I$6:$I$305,Befüllprotokoll!$B$6:$B$305,$B58,Befüllprotokoll!$C$6:$C$305,$C58))</f>
        <v/>
      </c>
      <c r="H58" s="19">
        <f>IF(D58="","",F58-G58)</f>
        <v/>
      </c>
      <c r="I58" s="9" t="n"/>
    </row>
    <row r="59">
      <c r="B59" s="11" t="n"/>
      <c r="C59" s="9" t="n"/>
      <c r="D59" s="16" t="n"/>
      <c r="E59" s="16" t="n"/>
      <c r="F59" s="17">
        <f>IF(D59="","",D59-E59)</f>
        <v/>
      </c>
      <c r="G59" s="17">
        <f>IF(D59="","",SUMIFS(Befüllprotokoll!$I$6:$I$305,Befüllprotokoll!$B$6:$B$305,$B59,Befüllprotokoll!$C$6:$C$305,$C59))</f>
        <v/>
      </c>
      <c r="H59" s="19">
        <f>IF(D59="","",F59-G59)</f>
        <v/>
      </c>
      <c r="I59" s="9" t="n"/>
    </row>
    <row r="60">
      <c r="B60" s="11" t="n"/>
      <c r="C60" s="9" t="n"/>
      <c r="D60" s="16" t="n"/>
      <c r="E60" s="16" t="n"/>
      <c r="F60" s="17">
        <f>IF(D60="","",D60-E60)</f>
        <v/>
      </c>
      <c r="G60" s="17">
        <f>IF(D60="","",SUMIFS(Befüllprotokoll!$I$6:$I$305,Befüllprotokoll!$B$6:$B$305,$B60,Befüllprotokoll!$C$6:$C$305,$C60))</f>
        <v/>
      </c>
      <c r="H60" s="19">
        <f>IF(D60="","",F60-G60)</f>
        <v/>
      </c>
      <c r="I60" s="9" t="n"/>
    </row>
    <row r="61">
      <c r="B61" s="11" t="n"/>
      <c r="C61" s="9" t="n"/>
      <c r="D61" s="16" t="n"/>
      <c r="E61" s="16" t="n"/>
      <c r="F61" s="17">
        <f>IF(D61="","",D61-E61)</f>
        <v/>
      </c>
      <c r="G61" s="17">
        <f>IF(D61="","",SUMIFS(Befüllprotokoll!$I$6:$I$305,Befüllprotokoll!$B$6:$B$305,$B61,Befüllprotokoll!$C$6:$C$305,$C61))</f>
        <v/>
      </c>
      <c r="H61" s="19">
        <f>IF(D61="","",F61-G61)</f>
        <v/>
      </c>
      <c r="I61" s="9" t="n"/>
    </row>
    <row r="62">
      <c r="B62" s="11" t="n"/>
      <c r="C62" s="9" t="n"/>
      <c r="D62" s="16" t="n"/>
      <c r="E62" s="16" t="n"/>
      <c r="F62" s="17">
        <f>IF(D62="","",D62-E62)</f>
        <v/>
      </c>
      <c r="G62" s="17">
        <f>IF(D62="","",SUMIFS(Befüllprotokoll!$I$6:$I$305,Befüllprotokoll!$B$6:$B$305,$B62,Befüllprotokoll!$C$6:$C$305,$C62))</f>
        <v/>
      </c>
      <c r="H62" s="19">
        <f>IF(D62="","",F62-G62)</f>
        <v/>
      </c>
      <c r="I62" s="9" t="n"/>
    </row>
    <row r="63">
      <c r="B63" s="11" t="n"/>
      <c r="C63" s="9" t="n"/>
      <c r="D63" s="16" t="n"/>
      <c r="E63" s="16" t="n"/>
      <c r="F63" s="17">
        <f>IF(D63="","",D63-E63)</f>
        <v/>
      </c>
      <c r="G63" s="17">
        <f>IF(D63="","",SUMIFS(Befüllprotokoll!$I$6:$I$305,Befüllprotokoll!$B$6:$B$305,$B63,Befüllprotokoll!$C$6:$C$305,$C63))</f>
        <v/>
      </c>
      <c r="H63" s="19">
        <f>IF(D63="","",F63-G63)</f>
        <v/>
      </c>
      <c r="I63" s="9" t="n"/>
    </row>
    <row r="64">
      <c r="B64" s="11" t="n"/>
      <c r="C64" s="9" t="n"/>
      <c r="D64" s="16" t="n"/>
      <c r="E64" s="16" t="n"/>
      <c r="F64" s="17">
        <f>IF(D64="","",D64-E64)</f>
        <v/>
      </c>
      <c r="G64" s="17">
        <f>IF(D64="","",SUMIFS(Befüllprotokoll!$I$6:$I$305,Befüllprotokoll!$B$6:$B$305,$B64,Befüllprotokoll!$C$6:$C$305,$C64))</f>
        <v/>
      </c>
      <c r="H64" s="19">
        <f>IF(D64="","",F64-G64)</f>
        <v/>
      </c>
      <c r="I64" s="9" t="n"/>
    </row>
    <row r="65">
      <c r="B65" s="11" t="n"/>
      <c r="C65" s="9" t="n"/>
      <c r="D65" s="16" t="n"/>
      <c r="E65" s="16" t="n"/>
      <c r="F65" s="17">
        <f>IF(D65="","",D65-E65)</f>
        <v/>
      </c>
      <c r="G65" s="17">
        <f>IF(D65="","",SUMIFS(Befüllprotokoll!$I$6:$I$305,Befüllprotokoll!$B$6:$B$305,$B65,Befüllprotokoll!$C$6:$C$305,$C65))</f>
        <v/>
      </c>
      <c r="H65" s="19">
        <f>IF(D65="","",F65-G65)</f>
        <v/>
      </c>
      <c r="I65" s="9" t="n"/>
    </row>
    <row r="66">
      <c r="B66" s="11" t="n"/>
      <c r="C66" s="9" t="n"/>
      <c r="D66" s="16" t="n"/>
      <c r="E66" s="16" t="n"/>
      <c r="F66" s="17">
        <f>IF(D66="","",D66-E66)</f>
        <v/>
      </c>
      <c r="G66" s="17">
        <f>IF(D66="","",SUMIFS(Befüllprotokoll!$I$6:$I$305,Befüllprotokoll!$B$6:$B$305,$B66,Befüllprotokoll!$C$6:$C$305,$C66))</f>
        <v/>
      </c>
      <c r="H66" s="19">
        <f>IF(D66="","",F66-G66)</f>
        <v/>
      </c>
      <c r="I66" s="9" t="n"/>
    </row>
    <row r="67">
      <c r="B67" s="11" t="n"/>
      <c r="C67" s="9" t="n"/>
      <c r="D67" s="16" t="n"/>
      <c r="E67" s="16" t="n"/>
      <c r="F67" s="17">
        <f>IF(D67="","",D67-E67)</f>
        <v/>
      </c>
      <c r="G67" s="17">
        <f>IF(D67="","",SUMIFS(Befüllprotokoll!$I$6:$I$305,Befüllprotokoll!$B$6:$B$305,$B67,Befüllprotokoll!$C$6:$C$305,$C67))</f>
        <v/>
      </c>
      <c r="H67" s="19">
        <f>IF(D67="","",F67-G67)</f>
        <v/>
      </c>
      <c r="I67" s="9" t="n"/>
    </row>
    <row r="68">
      <c r="B68" s="11" t="n"/>
      <c r="C68" s="9" t="n"/>
      <c r="D68" s="16" t="n"/>
      <c r="E68" s="16" t="n"/>
      <c r="F68" s="17">
        <f>IF(D68="","",D68-E68)</f>
        <v/>
      </c>
      <c r="G68" s="17">
        <f>IF(D68="","",SUMIFS(Befüllprotokoll!$I$6:$I$305,Befüllprotokoll!$B$6:$B$305,$B68,Befüllprotokoll!$C$6:$C$305,$C68))</f>
        <v/>
      </c>
      <c r="H68" s="19">
        <f>IF(D68="","",F68-G68)</f>
        <v/>
      </c>
      <c r="I68" s="9" t="n"/>
    </row>
    <row r="69">
      <c r="B69" s="11" t="n"/>
      <c r="C69" s="9" t="n"/>
      <c r="D69" s="16" t="n"/>
      <c r="E69" s="16" t="n"/>
      <c r="F69" s="17">
        <f>IF(D69="","",D69-E69)</f>
        <v/>
      </c>
      <c r="G69" s="17">
        <f>IF(D69="","",SUMIFS(Befüllprotokoll!$I$6:$I$305,Befüllprotokoll!$B$6:$B$305,$B69,Befüllprotokoll!$C$6:$C$305,$C69))</f>
        <v/>
      </c>
      <c r="H69" s="19">
        <f>IF(D69="","",F69-G69)</f>
        <v/>
      </c>
      <c r="I69" s="9" t="n"/>
    </row>
    <row r="70">
      <c r="B70" s="11" t="n"/>
      <c r="C70" s="9" t="n"/>
      <c r="D70" s="16" t="n"/>
      <c r="E70" s="16" t="n"/>
      <c r="F70" s="17">
        <f>IF(D70="","",D70-E70)</f>
        <v/>
      </c>
      <c r="G70" s="17">
        <f>IF(D70="","",SUMIFS(Befüllprotokoll!$I$6:$I$305,Befüllprotokoll!$B$6:$B$305,$B70,Befüllprotokoll!$C$6:$C$305,$C70))</f>
        <v/>
      </c>
      <c r="H70" s="19">
        <f>IF(D70="","",F70-G70)</f>
        <v/>
      </c>
      <c r="I70" s="9" t="n"/>
    </row>
    <row r="71">
      <c r="B71" s="11" t="n"/>
      <c r="C71" s="9" t="n"/>
      <c r="D71" s="16" t="n"/>
      <c r="E71" s="16" t="n"/>
      <c r="F71" s="17">
        <f>IF(D71="","",D71-E71)</f>
        <v/>
      </c>
      <c r="G71" s="17">
        <f>IF(D71="","",SUMIFS(Befüllprotokoll!$I$6:$I$305,Befüllprotokoll!$B$6:$B$305,$B71,Befüllprotokoll!$C$6:$C$305,$C71))</f>
        <v/>
      </c>
      <c r="H71" s="19">
        <f>IF(D71="","",F71-G71)</f>
        <v/>
      </c>
      <c r="I71" s="9" t="n"/>
    </row>
    <row r="72">
      <c r="B72" s="11" t="n"/>
      <c r="C72" s="9" t="n"/>
      <c r="D72" s="16" t="n"/>
      <c r="E72" s="16" t="n"/>
      <c r="F72" s="17">
        <f>IF(D72="","",D72-E72)</f>
        <v/>
      </c>
      <c r="G72" s="17">
        <f>IF(D72="","",SUMIFS(Befüllprotokoll!$I$6:$I$305,Befüllprotokoll!$B$6:$B$305,$B72,Befüllprotokoll!$C$6:$C$305,$C72))</f>
        <v/>
      </c>
      <c r="H72" s="19">
        <f>IF(D72="","",F72-G72)</f>
        <v/>
      </c>
      <c r="I72" s="9" t="n"/>
    </row>
    <row r="73">
      <c r="B73" s="11" t="n"/>
      <c r="C73" s="9" t="n"/>
      <c r="D73" s="16" t="n"/>
      <c r="E73" s="16" t="n"/>
      <c r="F73" s="17">
        <f>IF(D73="","",D73-E73)</f>
        <v/>
      </c>
      <c r="G73" s="17">
        <f>IF(D73="","",SUMIFS(Befüllprotokoll!$I$6:$I$305,Befüllprotokoll!$B$6:$B$305,$B73,Befüllprotokoll!$C$6:$C$305,$C73))</f>
        <v/>
      </c>
      <c r="H73" s="19">
        <f>IF(D73="","",F73-G73)</f>
        <v/>
      </c>
      <c r="I73" s="9" t="n"/>
    </row>
    <row r="74">
      <c r="B74" s="11" t="n"/>
      <c r="C74" s="9" t="n"/>
      <c r="D74" s="16" t="n"/>
      <c r="E74" s="16" t="n"/>
      <c r="F74" s="17">
        <f>IF(D74="","",D74-E74)</f>
        <v/>
      </c>
      <c r="G74" s="17">
        <f>IF(D74="","",SUMIFS(Befüllprotokoll!$I$6:$I$305,Befüllprotokoll!$B$6:$B$305,$B74,Befüllprotokoll!$C$6:$C$305,$C74))</f>
        <v/>
      </c>
      <c r="H74" s="19">
        <f>IF(D74="","",F74-G74)</f>
        <v/>
      </c>
      <c r="I74" s="9" t="n"/>
    </row>
    <row r="75">
      <c r="B75" s="11" t="n"/>
      <c r="C75" s="9" t="n"/>
      <c r="D75" s="16" t="n"/>
      <c r="E75" s="16" t="n"/>
      <c r="F75" s="17">
        <f>IF(D75="","",D75-E75)</f>
        <v/>
      </c>
      <c r="G75" s="17">
        <f>IF(D75="","",SUMIFS(Befüllprotokoll!$I$6:$I$305,Befüllprotokoll!$B$6:$B$305,$B75,Befüllprotokoll!$C$6:$C$305,$C75))</f>
        <v/>
      </c>
      <c r="H75" s="19">
        <f>IF(D75="","",F75-G75)</f>
        <v/>
      </c>
      <c r="I75" s="9" t="n"/>
    </row>
    <row r="76">
      <c r="B76" s="11" t="n"/>
      <c r="C76" s="9" t="n"/>
      <c r="D76" s="16" t="n"/>
      <c r="E76" s="16" t="n"/>
      <c r="F76" s="17">
        <f>IF(D76="","",D76-E76)</f>
        <v/>
      </c>
      <c r="G76" s="17">
        <f>IF(D76="","",SUMIFS(Befüllprotokoll!$I$6:$I$305,Befüllprotokoll!$B$6:$B$305,$B76,Befüllprotokoll!$C$6:$C$305,$C76))</f>
        <v/>
      </c>
      <c r="H76" s="19">
        <f>IF(D76="","",F76-G76)</f>
        <v/>
      </c>
      <c r="I76" s="9" t="n"/>
    </row>
    <row r="77">
      <c r="B77" s="11" t="n"/>
      <c r="C77" s="9" t="n"/>
      <c r="D77" s="16" t="n"/>
      <c r="E77" s="16" t="n"/>
      <c r="F77" s="17">
        <f>IF(D77="","",D77-E77)</f>
        <v/>
      </c>
      <c r="G77" s="17">
        <f>IF(D77="","",SUMIFS(Befüllprotokoll!$I$6:$I$305,Befüllprotokoll!$B$6:$B$305,$B77,Befüllprotokoll!$C$6:$C$305,$C77))</f>
        <v/>
      </c>
      <c r="H77" s="19">
        <f>IF(D77="","",F77-G77)</f>
        <v/>
      </c>
      <c r="I77" s="9" t="n"/>
    </row>
    <row r="78">
      <c r="B78" s="11" t="n"/>
      <c r="C78" s="9" t="n"/>
      <c r="D78" s="16" t="n"/>
      <c r="E78" s="16" t="n"/>
      <c r="F78" s="17">
        <f>IF(D78="","",D78-E78)</f>
        <v/>
      </c>
      <c r="G78" s="17">
        <f>IF(D78="","",SUMIFS(Befüllprotokoll!$I$6:$I$305,Befüllprotokoll!$B$6:$B$305,$B78,Befüllprotokoll!$C$6:$C$305,$C78))</f>
        <v/>
      </c>
      <c r="H78" s="19">
        <f>IF(D78="","",F78-G78)</f>
        <v/>
      </c>
      <c r="I78" s="9" t="n"/>
    </row>
    <row r="79">
      <c r="B79" s="11" t="n"/>
      <c r="C79" s="9" t="n"/>
      <c r="D79" s="16" t="n"/>
      <c r="E79" s="16" t="n"/>
      <c r="F79" s="17">
        <f>IF(D79="","",D79-E79)</f>
        <v/>
      </c>
      <c r="G79" s="17">
        <f>IF(D79="","",SUMIFS(Befüllprotokoll!$I$6:$I$305,Befüllprotokoll!$B$6:$B$305,$B79,Befüllprotokoll!$C$6:$C$305,$C79))</f>
        <v/>
      </c>
      <c r="H79" s="19">
        <f>IF(D79="","",F79-G79)</f>
        <v/>
      </c>
      <c r="I79" s="9" t="n"/>
    </row>
    <row r="80">
      <c r="B80" s="11" t="n"/>
      <c r="C80" s="9" t="n"/>
      <c r="D80" s="16" t="n"/>
      <c r="E80" s="16" t="n"/>
      <c r="F80" s="17">
        <f>IF(D80="","",D80-E80)</f>
        <v/>
      </c>
      <c r="G80" s="17">
        <f>IF(D80="","",SUMIFS(Befüllprotokoll!$I$6:$I$305,Befüllprotokoll!$B$6:$B$305,$B80,Befüllprotokoll!$C$6:$C$305,$C80))</f>
        <v/>
      </c>
      <c r="H80" s="19">
        <f>IF(D80="","",F80-G80)</f>
        <v/>
      </c>
      <c r="I80" s="9" t="n"/>
    </row>
    <row r="81">
      <c r="B81" s="11" t="n"/>
      <c r="C81" s="9" t="n"/>
      <c r="D81" s="16" t="n"/>
      <c r="E81" s="16" t="n"/>
      <c r="F81" s="17">
        <f>IF(D81="","",D81-E81)</f>
        <v/>
      </c>
      <c r="G81" s="17">
        <f>IF(D81="","",SUMIFS(Befüllprotokoll!$I$6:$I$305,Befüllprotokoll!$B$6:$B$305,$B81,Befüllprotokoll!$C$6:$C$305,$C81))</f>
        <v/>
      </c>
      <c r="H81" s="19">
        <f>IF(D81="","",F81-G81)</f>
        <v/>
      </c>
      <c r="I81" s="9" t="n"/>
    </row>
    <row r="82">
      <c r="B82" s="11" t="n"/>
      <c r="C82" s="9" t="n"/>
      <c r="D82" s="16" t="n"/>
      <c r="E82" s="16" t="n"/>
      <c r="F82" s="17">
        <f>IF(D82="","",D82-E82)</f>
        <v/>
      </c>
      <c r="G82" s="17">
        <f>IF(D82="","",SUMIFS(Befüllprotokoll!$I$6:$I$305,Befüllprotokoll!$B$6:$B$305,$B82,Befüllprotokoll!$C$6:$C$305,$C82))</f>
        <v/>
      </c>
      <c r="H82" s="19">
        <f>IF(D82="","",F82-G82)</f>
        <v/>
      </c>
      <c r="I82" s="9" t="n"/>
    </row>
    <row r="83">
      <c r="B83" s="11" t="n"/>
      <c r="C83" s="9" t="n"/>
      <c r="D83" s="16" t="n"/>
      <c r="E83" s="16" t="n"/>
      <c r="F83" s="17">
        <f>IF(D83="","",D83-E83)</f>
        <v/>
      </c>
      <c r="G83" s="17">
        <f>IF(D83="","",SUMIFS(Befüllprotokoll!$I$6:$I$305,Befüllprotokoll!$B$6:$B$305,$B83,Befüllprotokoll!$C$6:$C$305,$C83))</f>
        <v/>
      </c>
      <c r="H83" s="19">
        <f>IF(D83="","",F83-G83)</f>
        <v/>
      </c>
      <c r="I83" s="9" t="n"/>
    </row>
    <row r="84">
      <c r="B84" s="11" t="n"/>
      <c r="C84" s="9" t="n"/>
      <c r="D84" s="16" t="n"/>
      <c r="E84" s="16" t="n"/>
      <c r="F84" s="17">
        <f>IF(D84="","",D84-E84)</f>
        <v/>
      </c>
      <c r="G84" s="17">
        <f>IF(D84="","",SUMIFS(Befüllprotokoll!$I$6:$I$305,Befüllprotokoll!$B$6:$B$305,$B84,Befüllprotokoll!$C$6:$C$305,$C84))</f>
        <v/>
      </c>
      <c r="H84" s="19">
        <f>IF(D84="","",F84-G84)</f>
        <v/>
      </c>
      <c r="I84" s="9" t="n"/>
    </row>
    <row r="85">
      <c r="B85" s="11" t="n"/>
      <c r="C85" s="9" t="n"/>
      <c r="D85" s="16" t="n"/>
      <c r="E85" s="16" t="n"/>
      <c r="F85" s="17">
        <f>IF(D85="","",D85-E85)</f>
        <v/>
      </c>
      <c r="G85" s="17">
        <f>IF(D85="","",SUMIFS(Befüllprotokoll!$I$6:$I$305,Befüllprotokoll!$B$6:$B$305,$B85,Befüllprotokoll!$C$6:$C$305,$C85))</f>
        <v/>
      </c>
      <c r="H85" s="19">
        <f>IF(D85="","",F85-G85)</f>
        <v/>
      </c>
      <c r="I85" s="9" t="n"/>
    </row>
    <row r="86">
      <c r="B86" s="11" t="n"/>
      <c r="C86" s="9" t="n"/>
      <c r="D86" s="16" t="n"/>
      <c r="E86" s="16" t="n"/>
      <c r="F86" s="17">
        <f>IF(D86="","",D86-E86)</f>
        <v/>
      </c>
      <c r="G86" s="17">
        <f>IF(D86="","",SUMIFS(Befüllprotokoll!$I$6:$I$305,Befüllprotokoll!$B$6:$B$305,$B86,Befüllprotokoll!$C$6:$C$305,$C86))</f>
        <v/>
      </c>
      <c r="H86" s="19">
        <f>IF(D86="","",F86-G86)</f>
        <v/>
      </c>
      <c r="I86" s="9" t="n"/>
    </row>
    <row r="87">
      <c r="B87" s="11" t="n"/>
      <c r="C87" s="9" t="n"/>
      <c r="D87" s="16" t="n"/>
      <c r="E87" s="16" t="n"/>
      <c r="F87" s="17">
        <f>IF(D87="","",D87-E87)</f>
        <v/>
      </c>
      <c r="G87" s="17">
        <f>IF(D87="","",SUMIFS(Befüllprotokoll!$I$6:$I$305,Befüllprotokoll!$B$6:$B$305,$B87,Befüllprotokoll!$C$6:$C$305,$C87))</f>
        <v/>
      </c>
      <c r="H87" s="19">
        <f>IF(D87="","",F87-G87)</f>
        <v/>
      </c>
      <c r="I87" s="9" t="n"/>
    </row>
    <row r="88">
      <c r="B88" s="11" t="n"/>
      <c r="C88" s="9" t="n"/>
      <c r="D88" s="16" t="n"/>
      <c r="E88" s="16" t="n"/>
      <c r="F88" s="17">
        <f>IF(D88="","",D88-E88)</f>
        <v/>
      </c>
      <c r="G88" s="17">
        <f>IF(D88="","",SUMIFS(Befüllprotokoll!$I$6:$I$305,Befüllprotokoll!$B$6:$B$305,$B88,Befüllprotokoll!$C$6:$C$305,$C88))</f>
        <v/>
      </c>
      <c r="H88" s="19">
        <f>IF(D88="","",F88-G88)</f>
        <v/>
      </c>
      <c r="I88" s="9" t="n"/>
    </row>
    <row r="89">
      <c r="B89" s="11" t="n"/>
      <c r="C89" s="9" t="n"/>
      <c r="D89" s="16" t="n"/>
      <c r="E89" s="16" t="n"/>
      <c r="F89" s="17">
        <f>IF(D89="","",D89-E89)</f>
        <v/>
      </c>
      <c r="G89" s="17">
        <f>IF(D89="","",SUMIFS(Befüllprotokoll!$I$6:$I$305,Befüllprotokoll!$B$6:$B$305,$B89,Befüllprotokoll!$C$6:$C$305,$C89))</f>
        <v/>
      </c>
      <c r="H89" s="19">
        <f>IF(D89="","",F89-G89)</f>
        <v/>
      </c>
      <c r="I89" s="9" t="n"/>
    </row>
    <row r="90">
      <c r="B90" s="11" t="n"/>
      <c r="C90" s="9" t="n"/>
      <c r="D90" s="16" t="n"/>
      <c r="E90" s="16" t="n"/>
      <c r="F90" s="17">
        <f>IF(D90="","",D90-E90)</f>
        <v/>
      </c>
      <c r="G90" s="17">
        <f>IF(D90="","",SUMIFS(Befüllprotokoll!$I$6:$I$305,Befüllprotokoll!$B$6:$B$305,$B90,Befüllprotokoll!$C$6:$C$305,$C90))</f>
        <v/>
      </c>
      <c r="H90" s="19">
        <f>IF(D90="","",F90-G90)</f>
        <v/>
      </c>
      <c r="I90" s="9" t="n"/>
    </row>
    <row r="91">
      <c r="B91" s="11" t="n"/>
      <c r="C91" s="9" t="n"/>
      <c r="D91" s="16" t="n"/>
      <c r="E91" s="16" t="n"/>
      <c r="F91" s="17">
        <f>IF(D91="","",D91-E91)</f>
        <v/>
      </c>
      <c r="G91" s="17">
        <f>IF(D91="","",SUMIFS(Befüllprotokoll!$I$6:$I$305,Befüllprotokoll!$B$6:$B$305,$B91,Befüllprotokoll!$C$6:$C$305,$C91))</f>
        <v/>
      </c>
      <c r="H91" s="19">
        <f>IF(D91="","",F91-G91)</f>
        <v/>
      </c>
      <c r="I91" s="9" t="n"/>
    </row>
    <row r="92">
      <c r="B92" s="11" t="n"/>
      <c r="C92" s="9" t="n"/>
      <c r="D92" s="16" t="n"/>
      <c r="E92" s="16" t="n"/>
      <c r="F92" s="17">
        <f>IF(D92="","",D92-E92)</f>
        <v/>
      </c>
      <c r="G92" s="17">
        <f>IF(D92="","",SUMIFS(Befüllprotokoll!$I$6:$I$305,Befüllprotokoll!$B$6:$B$305,$B92,Befüllprotokoll!$C$6:$C$305,$C92))</f>
        <v/>
      </c>
      <c r="H92" s="19">
        <f>IF(D92="","",F92-G92)</f>
        <v/>
      </c>
      <c r="I92" s="9" t="n"/>
    </row>
    <row r="93">
      <c r="B93" s="11" t="n"/>
      <c r="C93" s="9" t="n"/>
      <c r="D93" s="16" t="n"/>
      <c r="E93" s="16" t="n"/>
      <c r="F93" s="17">
        <f>IF(D93="","",D93-E93)</f>
        <v/>
      </c>
      <c r="G93" s="17">
        <f>IF(D93="","",SUMIFS(Befüllprotokoll!$I$6:$I$305,Befüllprotokoll!$B$6:$B$305,$B93,Befüllprotokoll!$C$6:$C$305,$C93))</f>
        <v/>
      </c>
      <c r="H93" s="19">
        <f>IF(D93="","",F93-G93)</f>
        <v/>
      </c>
      <c r="I93" s="9" t="n"/>
    </row>
    <row r="94">
      <c r="B94" s="11" t="n"/>
      <c r="C94" s="9" t="n"/>
      <c r="D94" s="16" t="n"/>
      <c r="E94" s="16" t="n"/>
      <c r="F94" s="17">
        <f>IF(D94="","",D94-E94)</f>
        <v/>
      </c>
      <c r="G94" s="17">
        <f>IF(D94="","",SUMIFS(Befüllprotokoll!$I$6:$I$305,Befüllprotokoll!$B$6:$B$305,$B94,Befüllprotokoll!$C$6:$C$305,$C94))</f>
        <v/>
      </c>
      <c r="H94" s="19">
        <f>IF(D94="","",F94-G94)</f>
        <v/>
      </c>
      <c r="I94" s="9" t="n"/>
    </row>
    <row r="95">
      <c r="B95" s="11" t="n"/>
      <c r="C95" s="9" t="n"/>
      <c r="D95" s="16" t="n"/>
      <c r="E95" s="16" t="n"/>
      <c r="F95" s="17">
        <f>IF(D95="","",D95-E95)</f>
        <v/>
      </c>
      <c r="G95" s="17">
        <f>IF(D95="","",SUMIFS(Befüllprotokoll!$I$6:$I$305,Befüllprotokoll!$B$6:$B$305,$B95,Befüllprotokoll!$C$6:$C$305,$C95))</f>
        <v/>
      </c>
      <c r="H95" s="19">
        <f>IF(D95="","",F95-G95)</f>
        <v/>
      </c>
      <c r="I95" s="9" t="n"/>
    </row>
    <row r="96">
      <c r="B96" s="11" t="n"/>
      <c r="C96" s="9" t="n"/>
      <c r="D96" s="16" t="n"/>
      <c r="E96" s="16" t="n"/>
      <c r="F96" s="17">
        <f>IF(D96="","",D96-E96)</f>
        <v/>
      </c>
      <c r="G96" s="17">
        <f>IF(D96="","",SUMIFS(Befüllprotokoll!$I$6:$I$305,Befüllprotokoll!$B$6:$B$305,$B96,Befüllprotokoll!$C$6:$C$305,$C96))</f>
        <v/>
      </c>
      <c r="H96" s="19">
        <f>IF(D96="","",F96-G96)</f>
        <v/>
      </c>
      <c r="I96" s="9" t="n"/>
    </row>
    <row r="97">
      <c r="B97" s="11" t="n"/>
      <c r="C97" s="9" t="n"/>
      <c r="D97" s="16" t="n"/>
      <c r="E97" s="16" t="n"/>
      <c r="F97" s="17">
        <f>IF(D97="","",D97-E97)</f>
        <v/>
      </c>
      <c r="G97" s="17">
        <f>IF(D97="","",SUMIFS(Befüllprotokoll!$I$6:$I$305,Befüllprotokoll!$B$6:$B$305,$B97,Befüllprotokoll!$C$6:$C$305,$C97))</f>
        <v/>
      </c>
      <c r="H97" s="19">
        <f>IF(D97="","",F97-G97)</f>
        <v/>
      </c>
      <c r="I97" s="9" t="n"/>
    </row>
    <row r="98">
      <c r="B98" s="11" t="n"/>
      <c r="C98" s="9" t="n"/>
      <c r="D98" s="16" t="n"/>
      <c r="E98" s="16" t="n"/>
      <c r="F98" s="17">
        <f>IF(D98="","",D98-E98)</f>
        <v/>
      </c>
      <c r="G98" s="17">
        <f>IF(D98="","",SUMIFS(Befüllprotokoll!$I$6:$I$305,Befüllprotokoll!$B$6:$B$305,$B98,Befüllprotokoll!$C$6:$C$305,$C98))</f>
        <v/>
      </c>
      <c r="H98" s="19">
        <f>IF(D98="","",F98-G98)</f>
        <v/>
      </c>
      <c r="I98" s="9" t="n"/>
    </row>
    <row r="99">
      <c r="B99" s="11" t="n"/>
      <c r="C99" s="9" t="n"/>
      <c r="D99" s="16" t="n"/>
      <c r="E99" s="16" t="n"/>
      <c r="F99" s="17">
        <f>IF(D99="","",D99-E99)</f>
        <v/>
      </c>
      <c r="G99" s="17">
        <f>IF(D99="","",SUMIFS(Befüllprotokoll!$I$6:$I$305,Befüllprotokoll!$B$6:$B$305,$B99,Befüllprotokoll!$C$6:$C$305,$C99))</f>
        <v/>
      </c>
      <c r="H99" s="19">
        <f>IF(D99="","",F99-G99)</f>
        <v/>
      </c>
      <c r="I99" s="9" t="n"/>
    </row>
    <row r="100">
      <c r="B100" s="11" t="n"/>
      <c r="C100" s="9" t="n"/>
      <c r="D100" s="16" t="n"/>
      <c r="E100" s="16" t="n"/>
      <c r="F100" s="17">
        <f>IF(D100="","",D100-E100)</f>
        <v/>
      </c>
      <c r="G100" s="17">
        <f>IF(D100="","",SUMIFS(Befüllprotokoll!$I$6:$I$305,Befüllprotokoll!$B$6:$B$305,$B100,Befüllprotokoll!$C$6:$C$305,$C100))</f>
        <v/>
      </c>
      <c r="H100" s="19">
        <f>IF(D100="","",F100-G100)</f>
        <v/>
      </c>
      <c r="I100" s="9" t="n"/>
    </row>
    <row r="101">
      <c r="B101" s="11" t="n"/>
      <c r="C101" s="9" t="n"/>
      <c r="D101" s="16" t="n"/>
      <c r="E101" s="16" t="n"/>
      <c r="F101" s="17">
        <f>IF(D101="","",D101-E101)</f>
        <v/>
      </c>
      <c r="G101" s="17">
        <f>IF(D101="","",SUMIFS(Befüllprotokoll!$I$6:$I$305,Befüllprotokoll!$B$6:$B$305,$B101,Befüllprotokoll!$C$6:$C$305,$C101))</f>
        <v/>
      </c>
      <c r="H101" s="19">
        <f>IF(D101="","",F101-G101)</f>
        <v/>
      </c>
      <c r="I101" s="9" t="n"/>
    </row>
    <row r="102">
      <c r="B102" s="11" t="n"/>
      <c r="C102" s="9" t="n"/>
      <c r="D102" s="16" t="n"/>
      <c r="E102" s="16" t="n"/>
      <c r="F102" s="17">
        <f>IF(D102="","",D102-E102)</f>
        <v/>
      </c>
      <c r="G102" s="17">
        <f>IF(D102="","",SUMIFS(Befüllprotokoll!$I$6:$I$305,Befüllprotokoll!$B$6:$B$305,$B102,Befüllprotokoll!$C$6:$C$305,$C102))</f>
        <v/>
      </c>
      <c r="H102" s="19">
        <f>IF(D102="","",F102-G102)</f>
        <v/>
      </c>
      <c r="I102" s="9" t="n"/>
    </row>
    <row r="103">
      <c r="B103" s="11" t="n"/>
      <c r="C103" s="9" t="n"/>
      <c r="D103" s="16" t="n"/>
      <c r="E103" s="16" t="n"/>
      <c r="F103" s="17">
        <f>IF(D103="","",D103-E103)</f>
        <v/>
      </c>
      <c r="G103" s="17">
        <f>IF(D103="","",SUMIFS(Befüllprotokoll!$I$6:$I$305,Befüllprotokoll!$B$6:$B$305,$B103,Befüllprotokoll!$C$6:$C$305,$C103))</f>
        <v/>
      </c>
      <c r="H103" s="19">
        <f>IF(D103="","",F103-G103)</f>
        <v/>
      </c>
      <c r="I103" s="9" t="n"/>
    </row>
    <row r="104">
      <c r="B104" s="11" t="n"/>
      <c r="C104" s="9" t="n"/>
      <c r="D104" s="16" t="n"/>
      <c r="E104" s="16" t="n"/>
      <c r="F104" s="17">
        <f>IF(D104="","",D104-E104)</f>
        <v/>
      </c>
      <c r="G104" s="17">
        <f>IF(D104="","",SUMIFS(Befüllprotokoll!$I$6:$I$305,Befüllprotokoll!$B$6:$B$305,$B104,Befüllprotokoll!$C$6:$C$305,$C104))</f>
        <v/>
      </c>
      <c r="H104" s="19">
        <f>IF(D104="","",F104-G104)</f>
        <v/>
      </c>
      <c r="I104" s="9" t="n"/>
    </row>
    <row r="105">
      <c r="B105" s="11" t="n"/>
      <c r="C105" s="9" t="n"/>
      <c r="D105" s="16" t="n"/>
      <c r="E105" s="16" t="n"/>
      <c r="F105" s="17">
        <f>IF(D105="","",D105-E105)</f>
        <v/>
      </c>
      <c r="G105" s="17">
        <f>IF(D105="","",SUMIFS(Befüllprotokoll!$I$6:$I$305,Befüllprotokoll!$B$6:$B$305,$B105,Befüllprotokoll!$C$6:$C$305,$C105))</f>
        <v/>
      </c>
      <c r="H105" s="19">
        <f>IF(D105="","",F105-G105)</f>
        <v/>
      </c>
      <c r="I105" s="9" t="n"/>
    </row>
    <row r="106">
      <c r="B106" s="11" t="n"/>
      <c r="C106" s="9" t="n"/>
      <c r="D106" s="16" t="n"/>
      <c r="E106" s="16" t="n"/>
      <c r="F106" s="17">
        <f>IF(D106="","",D106-E106)</f>
        <v/>
      </c>
      <c r="G106" s="17">
        <f>IF(D106="","",SUMIFS(Befüllprotokoll!$I$6:$I$305,Befüllprotokoll!$B$6:$B$305,$B106,Befüllprotokoll!$C$6:$C$305,$C106))</f>
        <v/>
      </c>
      <c r="H106" s="19">
        <f>IF(D106="","",F106-G106)</f>
        <v/>
      </c>
      <c r="I106" s="9" t="n"/>
    </row>
    <row r="107">
      <c r="B107" s="11" t="n"/>
      <c r="C107" s="9" t="n"/>
      <c r="D107" s="16" t="n"/>
      <c r="E107" s="16" t="n"/>
      <c r="F107" s="17">
        <f>IF(D107="","",D107-E107)</f>
        <v/>
      </c>
      <c r="G107" s="17">
        <f>IF(D107="","",SUMIFS(Befüllprotokoll!$I$6:$I$305,Befüllprotokoll!$B$6:$B$305,$B107,Befüllprotokoll!$C$6:$C$305,$C107))</f>
        <v/>
      </c>
      <c r="H107" s="19">
        <f>IF(D107="","",F107-G107)</f>
        <v/>
      </c>
      <c r="I107" s="9" t="n"/>
    </row>
    <row r="108">
      <c r="B108" s="11" t="n"/>
      <c r="C108" s="9" t="n"/>
      <c r="D108" s="16" t="n"/>
      <c r="E108" s="16" t="n"/>
      <c r="F108" s="17">
        <f>IF(D108="","",D108-E108)</f>
        <v/>
      </c>
      <c r="G108" s="17">
        <f>IF(D108="","",SUMIFS(Befüllprotokoll!$I$6:$I$305,Befüllprotokoll!$B$6:$B$305,$B108,Befüllprotokoll!$C$6:$C$305,$C108))</f>
        <v/>
      </c>
      <c r="H108" s="19">
        <f>IF(D108="","",F108-G108)</f>
        <v/>
      </c>
      <c r="I108" s="9" t="n"/>
    </row>
    <row r="109">
      <c r="B109" s="11" t="n"/>
      <c r="C109" s="9" t="n"/>
      <c r="D109" s="16" t="n"/>
      <c r="E109" s="16" t="n"/>
      <c r="F109" s="17">
        <f>IF(D109="","",D109-E109)</f>
        <v/>
      </c>
      <c r="G109" s="17">
        <f>IF(D109="","",SUMIFS(Befüllprotokoll!$I$6:$I$305,Befüllprotokoll!$B$6:$B$305,$B109,Befüllprotokoll!$C$6:$C$305,$C109))</f>
        <v/>
      </c>
      <c r="H109" s="19">
        <f>IF(D109="","",F109-G109)</f>
        <v/>
      </c>
      <c r="I109" s="9" t="n"/>
    </row>
    <row r="110">
      <c r="B110" s="11" t="n"/>
      <c r="C110" s="9" t="n"/>
      <c r="D110" s="16" t="n"/>
      <c r="E110" s="16" t="n"/>
      <c r="F110" s="17">
        <f>IF(D110="","",D110-E110)</f>
        <v/>
      </c>
      <c r="G110" s="17">
        <f>IF(D110="","",SUMIFS(Befüllprotokoll!$I$6:$I$305,Befüllprotokoll!$B$6:$B$305,$B110,Befüllprotokoll!$C$6:$C$305,$C110))</f>
        <v/>
      </c>
      <c r="H110" s="19">
        <f>IF(D110="","",F110-G110)</f>
        <v/>
      </c>
      <c r="I110" s="9" t="n"/>
    </row>
    <row r="111">
      <c r="B111" s="11" t="n"/>
      <c r="C111" s="9" t="n"/>
      <c r="D111" s="16" t="n"/>
      <c r="E111" s="16" t="n"/>
      <c r="F111" s="17">
        <f>IF(D111="","",D111-E111)</f>
        <v/>
      </c>
      <c r="G111" s="17">
        <f>IF(D111="","",SUMIFS(Befüllprotokoll!$I$6:$I$305,Befüllprotokoll!$B$6:$B$305,$B111,Befüllprotokoll!$C$6:$C$305,$C111))</f>
        <v/>
      </c>
      <c r="H111" s="19">
        <f>IF(D111="","",F111-G111)</f>
        <v/>
      </c>
      <c r="I111" s="9" t="n"/>
    </row>
    <row r="112">
      <c r="B112" s="11" t="n"/>
      <c r="C112" s="9" t="n"/>
      <c r="D112" s="16" t="n"/>
      <c r="E112" s="16" t="n"/>
      <c r="F112" s="17">
        <f>IF(D112="","",D112-E112)</f>
        <v/>
      </c>
      <c r="G112" s="17">
        <f>IF(D112="","",SUMIFS(Befüllprotokoll!$I$6:$I$305,Befüllprotokoll!$B$6:$B$305,$B112,Befüllprotokoll!$C$6:$C$305,$C112))</f>
        <v/>
      </c>
      <c r="H112" s="19">
        <f>IF(D112="","",F112-G112)</f>
        <v/>
      </c>
      <c r="I112" s="9" t="n"/>
    </row>
    <row r="113">
      <c r="B113" s="11" t="n"/>
      <c r="C113" s="9" t="n"/>
      <c r="D113" s="16" t="n"/>
      <c r="E113" s="16" t="n"/>
      <c r="F113" s="17">
        <f>IF(D113="","",D113-E113)</f>
        <v/>
      </c>
      <c r="G113" s="17">
        <f>IF(D113="","",SUMIFS(Befüllprotokoll!$I$6:$I$305,Befüllprotokoll!$B$6:$B$305,$B113,Befüllprotokoll!$C$6:$C$305,$C113))</f>
        <v/>
      </c>
      <c r="H113" s="19">
        <f>IF(D113="","",F113-G113)</f>
        <v/>
      </c>
      <c r="I113" s="9" t="n"/>
    </row>
    <row r="114">
      <c r="B114" s="11" t="n"/>
      <c r="C114" s="9" t="n"/>
      <c r="D114" s="16" t="n"/>
      <c r="E114" s="16" t="n"/>
      <c r="F114" s="17">
        <f>IF(D114="","",D114-E114)</f>
        <v/>
      </c>
      <c r="G114" s="17">
        <f>IF(D114="","",SUMIFS(Befüllprotokoll!$I$6:$I$305,Befüllprotokoll!$B$6:$B$305,$B114,Befüllprotokoll!$C$6:$C$305,$C114))</f>
        <v/>
      </c>
      <c r="H114" s="19">
        <f>IF(D114="","",F114-G114)</f>
        <v/>
      </c>
      <c r="I114" s="9" t="n"/>
    </row>
    <row r="115">
      <c r="B115" s="11" t="n"/>
      <c r="C115" s="9" t="n"/>
      <c r="D115" s="16" t="n"/>
      <c r="E115" s="16" t="n"/>
      <c r="F115" s="17">
        <f>IF(D115="","",D115-E115)</f>
        <v/>
      </c>
      <c r="G115" s="17">
        <f>IF(D115="","",SUMIFS(Befüllprotokoll!$I$6:$I$305,Befüllprotokoll!$B$6:$B$305,$B115,Befüllprotokoll!$C$6:$C$305,$C115))</f>
        <v/>
      </c>
      <c r="H115" s="19">
        <f>IF(D115="","",F115-G115)</f>
        <v/>
      </c>
      <c r="I115" s="9" t="n"/>
    </row>
    <row r="116">
      <c r="B116" s="11" t="n"/>
      <c r="C116" s="9" t="n"/>
      <c r="D116" s="16" t="n"/>
      <c r="E116" s="16" t="n"/>
      <c r="F116" s="17">
        <f>IF(D116="","",D116-E116)</f>
        <v/>
      </c>
      <c r="G116" s="17">
        <f>IF(D116="","",SUMIFS(Befüllprotokoll!$I$6:$I$305,Befüllprotokoll!$B$6:$B$305,$B116,Befüllprotokoll!$C$6:$C$305,$C116))</f>
        <v/>
      </c>
      <c r="H116" s="19">
        <f>IF(D116="","",F116-G116)</f>
        <v/>
      </c>
      <c r="I116" s="9" t="n"/>
    </row>
    <row r="117">
      <c r="B117" s="11" t="n"/>
      <c r="C117" s="9" t="n"/>
      <c r="D117" s="16" t="n"/>
      <c r="E117" s="16" t="n"/>
      <c r="F117" s="17">
        <f>IF(D117="","",D117-E117)</f>
        <v/>
      </c>
      <c r="G117" s="17">
        <f>IF(D117="","",SUMIFS(Befüllprotokoll!$I$6:$I$305,Befüllprotokoll!$B$6:$B$305,$B117,Befüllprotokoll!$C$6:$C$305,$C117))</f>
        <v/>
      </c>
      <c r="H117" s="19">
        <f>IF(D117="","",F117-G117)</f>
        <v/>
      </c>
      <c r="I117" s="9" t="n"/>
    </row>
    <row r="118">
      <c r="B118" s="11" t="n"/>
      <c r="C118" s="9" t="n"/>
      <c r="D118" s="16" t="n"/>
      <c r="E118" s="16" t="n"/>
      <c r="F118" s="17">
        <f>IF(D118="","",D118-E118)</f>
        <v/>
      </c>
      <c r="G118" s="17">
        <f>IF(D118="","",SUMIFS(Befüllprotokoll!$I$6:$I$305,Befüllprotokoll!$B$6:$B$305,$B118,Befüllprotokoll!$C$6:$C$305,$C118))</f>
        <v/>
      </c>
      <c r="H118" s="19">
        <f>IF(D118="","",F118-G118)</f>
        <v/>
      </c>
      <c r="I118" s="9" t="n"/>
    </row>
    <row r="119">
      <c r="B119" s="11" t="n"/>
      <c r="C119" s="9" t="n"/>
      <c r="D119" s="16" t="n"/>
      <c r="E119" s="16" t="n"/>
      <c r="F119" s="17">
        <f>IF(D119="","",D119-E119)</f>
        <v/>
      </c>
      <c r="G119" s="17">
        <f>IF(D119="","",SUMIFS(Befüllprotokoll!$I$6:$I$305,Befüllprotokoll!$B$6:$B$305,$B119,Befüllprotokoll!$C$6:$C$305,$C119))</f>
        <v/>
      </c>
      <c r="H119" s="19">
        <f>IF(D119="","",F119-G119)</f>
        <v/>
      </c>
      <c r="I119" s="9" t="n"/>
    </row>
    <row r="120">
      <c r="B120" s="11" t="n"/>
      <c r="C120" s="9" t="n"/>
      <c r="D120" s="16" t="n"/>
      <c r="E120" s="16" t="n"/>
      <c r="F120" s="17">
        <f>IF(D120="","",D120-E120)</f>
        <v/>
      </c>
      <c r="G120" s="17">
        <f>IF(D120="","",SUMIFS(Befüllprotokoll!$I$6:$I$305,Befüllprotokoll!$B$6:$B$305,$B120,Befüllprotokoll!$C$6:$C$305,$C120))</f>
        <v/>
      </c>
      <c r="H120" s="19">
        <f>IF(D120="","",F120-G120)</f>
        <v/>
      </c>
      <c r="I120" s="9" t="n"/>
    </row>
    <row r="121">
      <c r="B121" s="11" t="n"/>
      <c r="C121" s="9" t="n"/>
      <c r="D121" s="16" t="n"/>
      <c r="E121" s="16" t="n"/>
      <c r="F121" s="17">
        <f>IF(D121="","",D121-E121)</f>
        <v/>
      </c>
      <c r="G121" s="17">
        <f>IF(D121="","",SUMIFS(Befüllprotokoll!$I$6:$I$305,Befüllprotokoll!$B$6:$B$305,$B121,Befüllprotokoll!$C$6:$C$305,$C121))</f>
        <v/>
      </c>
      <c r="H121" s="19">
        <f>IF(D121="","",F121-G121)</f>
        <v/>
      </c>
      <c r="I121" s="9" t="n"/>
    </row>
    <row r="122">
      <c r="B122" s="11" t="n"/>
      <c r="C122" s="9" t="n"/>
      <c r="D122" s="16" t="n"/>
      <c r="E122" s="16" t="n"/>
      <c r="F122" s="17">
        <f>IF(D122="","",D122-E122)</f>
        <v/>
      </c>
      <c r="G122" s="17">
        <f>IF(D122="","",SUMIFS(Befüllprotokoll!$I$6:$I$305,Befüllprotokoll!$B$6:$B$305,$B122,Befüllprotokoll!$C$6:$C$305,$C122))</f>
        <v/>
      </c>
      <c r="H122" s="19">
        <f>IF(D122="","",F122-G122)</f>
        <v/>
      </c>
      <c r="I122" s="9" t="n"/>
    </row>
    <row r="123">
      <c r="B123" s="11" t="n"/>
      <c r="C123" s="9" t="n"/>
      <c r="D123" s="16" t="n"/>
      <c r="E123" s="16" t="n"/>
      <c r="F123" s="17">
        <f>IF(D123="","",D123-E123)</f>
        <v/>
      </c>
      <c r="G123" s="17">
        <f>IF(D123="","",SUMIFS(Befüllprotokoll!$I$6:$I$305,Befüllprotokoll!$B$6:$B$305,$B123,Befüllprotokoll!$C$6:$C$305,$C123))</f>
        <v/>
      </c>
      <c r="H123" s="19">
        <f>IF(D123="","",F123-G123)</f>
        <v/>
      </c>
      <c r="I123" s="9" t="n"/>
    </row>
    <row r="124">
      <c r="B124" s="11" t="n"/>
      <c r="C124" s="9" t="n"/>
      <c r="D124" s="16" t="n"/>
      <c r="E124" s="16" t="n"/>
      <c r="F124" s="17">
        <f>IF(D124="","",D124-E124)</f>
        <v/>
      </c>
      <c r="G124" s="17">
        <f>IF(D124="","",SUMIFS(Befüllprotokoll!$I$6:$I$305,Befüllprotokoll!$B$6:$B$305,$B124,Befüllprotokoll!$C$6:$C$305,$C124))</f>
        <v/>
      </c>
      <c r="H124" s="19">
        <f>IF(D124="","",F124-G124)</f>
        <v/>
      </c>
      <c r="I124" s="9" t="n"/>
    </row>
    <row r="125">
      <c r="B125" s="11" t="n"/>
      <c r="C125" s="9" t="n"/>
      <c r="D125" s="16" t="n"/>
      <c r="E125" s="16" t="n"/>
      <c r="F125" s="17">
        <f>IF(D125="","",D125-E125)</f>
        <v/>
      </c>
      <c r="G125" s="17">
        <f>IF(D125="","",SUMIFS(Befüllprotokoll!$I$6:$I$305,Befüllprotokoll!$B$6:$B$305,$B125,Befüllprotokoll!$C$6:$C$305,$C125))</f>
        <v/>
      </c>
      <c r="H125" s="19">
        <f>IF(D125="","",F125-G125)</f>
        <v/>
      </c>
      <c r="I125" s="9" t="n"/>
    </row>
    <row r="126">
      <c r="B126" s="11" t="n"/>
      <c r="C126" s="9" t="n"/>
      <c r="D126" s="16" t="n"/>
      <c r="E126" s="16" t="n"/>
      <c r="F126" s="17">
        <f>IF(D126="","",D126-E126)</f>
        <v/>
      </c>
      <c r="G126" s="17">
        <f>IF(D126="","",SUMIFS(Befüllprotokoll!$I$6:$I$305,Befüllprotokoll!$B$6:$B$305,$B126,Befüllprotokoll!$C$6:$C$305,$C126))</f>
        <v/>
      </c>
      <c r="H126" s="19">
        <f>IF(D126="","",F126-G126)</f>
        <v/>
      </c>
      <c r="I126" s="9" t="n"/>
    </row>
    <row r="127">
      <c r="B127" s="11" t="n"/>
      <c r="C127" s="9" t="n"/>
      <c r="D127" s="16" t="n"/>
      <c r="E127" s="16" t="n"/>
      <c r="F127" s="17">
        <f>IF(D127="","",D127-E127)</f>
        <v/>
      </c>
      <c r="G127" s="17">
        <f>IF(D127="","",SUMIFS(Befüllprotokoll!$I$6:$I$305,Befüllprotokoll!$B$6:$B$305,$B127,Befüllprotokoll!$C$6:$C$305,$C127))</f>
        <v/>
      </c>
      <c r="H127" s="19">
        <f>IF(D127="","",F127-G127)</f>
        <v/>
      </c>
      <c r="I127" s="9" t="n"/>
    </row>
    <row r="128">
      <c r="B128" s="11" t="n"/>
      <c r="C128" s="9" t="n"/>
      <c r="D128" s="16" t="n"/>
      <c r="E128" s="16" t="n"/>
      <c r="F128" s="17">
        <f>IF(D128="","",D128-E128)</f>
        <v/>
      </c>
      <c r="G128" s="17">
        <f>IF(D128="","",SUMIFS(Befüllprotokoll!$I$6:$I$305,Befüllprotokoll!$B$6:$B$305,$B128,Befüllprotokoll!$C$6:$C$305,$C128))</f>
        <v/>
      </c>
      <c r="H128" s="19">
        <f>IF(D128="","",F128-G128)</f>
        <v/>
      </c>
      <c r="I128" s="9" t="n"/>
    </row>
    <row r="129">
      <c r="B129" s="11" t="n"/>
      <c r="C129" s="9" t="n"/>
      <c r="D129" s="16" t="n"/>
      <c r="E129" s="16" t="n"/>
      <c r="F129" s="17">
        <f>IF(D129="","",D129-E129)</f>
        <v/>
      </c>
      <c r="G129" s="17">
        <f>IF(D129="","",SUMIFS(Befüllprotokoll!$I$6:$I$305,Befüllprotokoll!$B$6:$B$305,$B129,Befüllprotokoll!$C$6:$C$305,$C129))</f>
        <v/>
      </c>
      <c r="H129" s="19">
        <f>IF(D129="","",F129-G129)</f>
        <v/>
      </c>
      <c r="I129" s="9" t="n"/>
    </row>
    <row r="130">
      <c r="B130" s="11" t="n"/>
      <c r="C130" s="9" t="n"/>
      <c r="D130" s="16" t="n"/>
      <c r="E130" s="16" t="n"/>
      <c r="F130" s="17">
        <f>IF(D130="","",D130-E130)</f>
        <v/>
      </c>
      <c r="G130" s="17">
        <f>IF(D130="","",SUMIFS(Befüllprotokoll!$I$6:$I$305,Befüllprotokoll!$B$6:$B$305,$B130,Befüllprotokoll!$C$6:$C$305,$C130))</f>
        <v/>
      </c>
      <c r="H130" s="19">
        <f>IF(D130="","",F130-G130)</f>
        <v/>
      </c>
      <c r="I130" s="9" t="n"/>
    </row>
    <row r="131">
      <c r="B131" s="11" t="n"/>
      <c r="C131" s="9" t="n"/>
      <c r="D131" s="16" t="n"/>
      <c r="E131" s="16" t="n"/>
      <c r="F131" s="17">
        <f>IF(D131="","",D131-E131)</f>
        <v/>
      </c>
      <c r="G131" s="17">
        <f>IF(D131="","",SUMIFS(Befüllprotokoll!$I$6:$I$305,Befüllprotokoll!$B$6:$B$305,$B131,Befüllprotokoll!$C$6:$C$305,$C131))</f>
        <v/>
      </c>
      <c r="H131" s="19">
        <f>IF(D131="","",F131-G131)</f>
        <v/>
      </c>
      <c r="I131" s="9" t="n"/>
    </row>
    <row r="132">
      <c r="B132" s="11" t="n"/>
      <c r="C132" s="9" t="n"/>
      <c r="D132" s="16" t="n"/>
      <c r="E132" s="16" t="n"/>
      <c r="F132" s="17">
        <f>IF(D132="","",D132-E132)</f>
        <v/>
      </c>
      <c r="G132" s="17">
        <f>IF(D132="","",SUMIFS(Befüllprotokoll!$I$6:$I$305,Befüllprotokoll!$B$6:$B$305,$B132,Befüllprotokoll!$C$6:$C$305,$C132))</f>
        <v/>
      </c>
      <c r="H132" s="19">
        <f>IF(D132="","",F132-G132)</f>
        <v/>
      </c>
      <c r="I132" s="9" t="n"/>
    </row>
    <row r="133">
      <c r="B133" s="11" t="n"/>
      <c r="C133" s="9" t="n"/>
      <c r="D133" s="16" t="n"/>
      <c r="E133" s="16" t="n"/>
      <c r="F133" s="17">
        <f>IF(D133="","",D133-E133)</f>
        <v/>
      </c>
      <c r="G133" s="17">
        <f>IF(D133="","",SUMIFS(Befüllprotokoll!$I$6:$I$305,Befüllprotokoll!$B$6:$B$305,$B133,Befüllprotokoll!$C$6:$C$305,$C133))</f>
        <v/>
      </c>
      <c r="H133" s="19">
        <f>IF(D133="","",F133-G133)</f>
        <v/>
      </c>
      <c r="I133" s="9" t="n"/>
    </row>
    <row r="134">
      <c r="B134" s="11" t="n"/>
      <c r="C134" s="9" t="n"/>
      <c r="D134" s="16" t="n"/>
      <c r="E134" s="16" t="n"/>
      <c r="F134" s="17">
        <f>IF(D134="","",D134-E134)</f>
        <v/>
      </c>
      <c r="G134" s="17">
        <f>IF(D134="","",SUMIFS(Befüllprotokoll!$I$6:$I$305,Befüllprotokoll!$B$6:$B$305,$B134,Befüllprotokoll!$C$6:$C$305,$C134))</f>
        <v/>
      </c>
      <c r="H134" s="19">
        <f>IF(D134="","",F134-G134)</f>
        <v/>
      </c>
      <c r="I134" s="9" t="n"/>
    </row>
    <row r="135">
      <c r="B135" s="11" t="n"/>
      <c r="C135" s="9" t="n"/>
      <c r="D135" s="16" t="n"/>
      <c r="E135" s="16" t="n"/>
      <c r="F135" s="17">
        <f>IF(D135="","",D135-E135)</f>
        <v/>
      </c>
      <c r="G135" s="17">
        <f>IF(D135="","",SUMIFS(Befüllprotokoll!$I$6:$I$305,Befüllprotokoll!$B$6:$B$305,$B135,Befüllprotokoll!$C$6:$C$305,$C135))</f>
        <v/>
      </c>
      <c r="H135" s="19">
        <f>IF(D135="","",F135-G135)</f>
        <v/>
      </c>
      <c r="I135" s="9" t="n"/>
    </row>
    <row r="136">
      <c r="B136" s="11" t="n"/>
      <c r="C136" s="9" t="n"/>
      <c r="D136" s="16" t="n"/>
      <c r="E136" s="16" t="n"/>
      <c r="F136" s="17">
        <f>IF(D136="","",D136-E136)</f>
        <v/>
      </c>
      <c r="G136" s="17">
        <f>IF(D136="","",SUMIFS(Befüllprotokoll!$I$6:$I$305,Befüllprotokoll!$B$6:$B$305,$B136,Befüllprotokoll!$C$6:$C$305,$C136))</f>
        <v/>
      </c>
      <c r="H136" s="19">
        <f>IF(D136="","",F136-G136)</f>
        <v/>
      </c>
      <c r="I136" s="9" t="n"/>
    </row>
    <row r="137">
      <c r="B137" s="11" t="n"/>
      <c r="C137" s="9" t="n"/>
      <c r="D137" s="16" t="n"/>
      <c r="E137" s="16" t="n"/>
      <c r="F137" s="17">
        <f>IF(D137="","",D137-E137)</f>
        <v/>
      </c>
      <c r="G137" s="17">
        <f>IF(D137="","",SUMIFS(Befüllprotokoll!$I$6:$I$305,Befüllprotokoll!$B$6:$B$305,$B137,Befüllprotokoll!$C$6:$C$305,$C137))</f>
        <v/>
      </c>
      <c r="H137" s="19">
        <f>IF(D137="","",F137-G137)</f>
        <v/>
      </c>
      <c r="I137" s="9" t="n"/>
    </row>
    <row r="138">
      <c r="B138" s="11" t="n"/>
      <c r="C138" s="9" t="n"/>
      <c r="D138" s="16" t="n"/>
      <c r="E138" s="16" t="n"/>
      <c r="F138" s="17">
        <f>IF(D138="","",D138-E138)</f>
        <v/>
      </c>
      <c r="G138" s="17">
        <f>IF(D138="","",SUMIFS(Befüllprotokoll!$I$6:$I$305,Befüllprotokoll!$B$6:$B$305,$B138,Befüllprotokoll!$C$6:$C$305,$C138))</f>
        <v/>
      </c>
      <c r="H138" s="19">
        <f>IF(D138="","",F138-G138)</f>
        <v/>
      </c>
      <c r="I138" s="9" t="n"/>
    </row>
    <row r="139">
      <c r="B139" s="11" t="n"/>
      <c r="C139" s="9" t="n"/>
      <c r="D139" s="16" t="n"/>
      <c r="E139" s="16" t="n"/>
      <c r="F139" s="17">
        <f>IF(D139="","",D139-E139)</f>
        <v/>
      </c>
      <c r="G139" s="17">
        <f>IF(D139="","",SUMIFS(Befüllprotokoll!$I$6:$I$305,Befüllprotokoll!$B$6:$B$305,$B139,Befüllprotokoll!$C$6:$C$305,$C139))</f>
        <v/>
      </c>
      <c r="H139" s="19">
        <f>IF(D139="","",F139-G139)</f>
        <v/>
      </c>
      <c r="I139" s="9" t="n"/>
    </row>
    <row r="140">
      <c r="B140" s="11" t="n"/>
      <c r="C140" s="9" t="n"/>
      <c r="D140" s="16" t="n"/>
      <c r="E140" s="16" t="n"/>
      <c r="F140" s="17">
        <f>IF(D140="","",D140-E140)</f>
        <v/>
      </c>
      <c r="G140" s="17">
        <f>IF(D140="","",SUMIFS(Befüllprotokoll!$I$6:$I$305,Befüllprotokoll!$B$6:$B$305,$B140,Befüllprotokoll!$C$6:$C$305,$C140))</f>
        <v/>
      </c>
      <c r="H140" s="19">
        <f>IF(D140="","",F140-G140)</f>
        <v/>
      </c>
      <c r="I140" s="9" t="n"/>
    </row>
    <row r="141">
      <c r="B141" s="11" t="n"/>
      <c r="C141" s="9" t="n"/>
      <c r="D141" s="16" t="n"/>
      <c r="E141" s="16" t="n"/>
      <c r="F141" s="17">
        <f>IF(D141="","",D141-E141)</f>
        <v/>
      </c>
      <c r="G141" s="17">
        <f>IF(D141="","",SUMIFS(Befüllprotokoll!$I$6:$I$305,Befüllprotokoll!$B$6:$B$305,$B141,Befüllprotokoll!$C$6:$C$305,$C141))</f>
        <v/>
      </c>
      <c r="H141" s="19">
        <f>IF(D141="","",F141-G141)</f>
        <v/>
      </c>
      <c r="I141" s="9" t="n"/>
    </row>
    <row r="142">
      <c r="B142" s="11" t="n"/>
      <c r="C142" s="9" t="n"/>
      <c r="D142" s="16" t="n"/>
      <c r="E142" s="16" t="n"/>
      <c r="F142" s="17">
        <f>IF(D142="","",D142-E142)</f>
        <v/>
      </c>
      <c r="G142" s="17">
        <f>IF(D142="","",SUMIFS(Befüllprotokoll!$I$6:$I$305,Befüllprotokoll!$B$6:$B$305,$B142,Befüllprotokoll!$C$6:$C$305,$C142))</f>
        <v/>
      </c>
      <c r="H142" s="19">
        <f>IF(D142="","",F142-G142)</f>
        <v/>
      </c>
      <c r="I142" s="9" t="n"/>
    </row>
    <row r="143">
      <c r="B143" s="11" t="n"/>
      <c r="C143" s="9" t="n"/>
      <c r="D143" s="16" t="n"/>
      <c r="E143" s="16" t="n"/>
      <c r="F143" s="17">
        <f>IF(D143="","",D143-E143)</f>
        <v/>
      </c>
      <c r="G143" s="17">
        <f>IF(D143="","",SUMIFS(Befüllprotokoll!$I$6:$I$305,Befüllprotokoll!$B$6:$B$305,$B143,Befüllprotokoll!$C$6:$C$305,$C143))</f>
        <v/>
      </c>
      <c r="H143" s="19">
        <f>IF(D143="","",F143-G143)</f>
        <v/>
      </c>
      <c r="I143" s="9" t="n"/>
    </row>
    <row r="144">
      <c r="B144" s="11" t="n"/>
      <c r="C144" s="9" t="n"/>
      <c r="D144" s="16" t="n"/>
      <c r="E144" s="16" t="n"/>
      <c r="F144" s="17">
        <f>IF(D144="","",D144-E144)</f>
        <v/>
      </c>
      <c r="G144" s="17">
        <f>IF(D144="","",SUMIFS(Befüllprotokoll!$I$6:$I$305,Befüllprotokoll!$B$6:$B$305,$B144,Befüllprotokoll!$C$6:$C$305,$C144))</f>
        <v/>
      </c>
      <c r="H144" s="19">
        <f>IF(D144="","",F144-G144)</f>
        <v/>
      </c>
      <c r="I144" s="9" t="n"/>
    </row>
    <row r="145">
      <c r="B145" s="11" t="n"/>
      <c r="C145" s="9" t="n"/>
      <c r="D145" s="16" t="n"/>
      <c r="E145" s="16" t="n"/>
      <c r="F145" s="17">
        <f>IF(D145="","",D145-E145)</f>
        <v/>
      </c>
      <c r="G145" s="17">
        <f>IF(D145="","",SUMIFS(Befüllprotokoll!$I$6:$I$305,Befüllprotokoll!$B$6:$B$305,$B145,Befüllprotokoll!$C$6:$C$305,$C145))</f>
        <v/>
      </c>
      <c r="H145" s="19">
        <f>IF(D145="","",F145-G145)</f>
        <v/>
      </c>
      <c r="I145" s="9" t="n"/>
    </row>
    <row r="146">
      <c r="B146" s="11" t="n"/>
      <c r="C146" s="9" t="n"/>
      <c r="D146" s="16" t="n"/>
      <c r="E146" s="16" t="n"/>
      <c r="F146" s="17">
        <f>IF(D146="","",D146-E146)</f>
        <v/>
      </c>
      <c r="G146" s="17">
        <f>IF(D146="","",SUMIFS(Befüllprotokoll!$I$6:$I$305,Befüllprotokoll!$B$6:$B$305,$B146,Befüllprotokoll!$C$6:$C$305,$C146))</f>
        <v/>
      </c>
      <c r="H146" s="19">
        <f>IF(D146="","",F146-G146)</f>
        <v/>
      </c>
      <c r="I146" s="9" t="n"/>
    </row>
    <row r="147">
      <c r="B147" s="11" t="n"/>
      <c r="C147" s="9" t="n"/>
      <c r="D147" s="16" t="n"/>
      <c r="E147" s="16" t="n"/>
      <c r="F147" s="17">
        <f>IF(D147="","",D147-E147)</f>
        <v/>
      </c>
      <c r="G147" s="17">
        <f>IF(D147="","",SUMIFS(Befüllprotokoll!$I$6:$I$305,Befüllprotokoll!$B$6:$B$305,$B147,Befüllprotokoll!$C$6:$C$305,$C147))</f>
        <v/>
      </c>
      <c r="H147" s="19">
        <f>IF(D147="","",F147-G147)</f>
        <v/>
      </c>
      <c r="I147" s="9" t="n"/>
    </row>
    <row r="148">
      <c r="B148" s="11" t="n"/>
      <c r="C148" s="9" t="n"/>
      <c r="D148" s="16" t="n"/>
      <c r="E148" s="16" t="n"/>
      <c r="F148" s="17">
        <f>IF(D148="","",D148-E148)</f>
        <v/>
      </c>
      <c r="G148" s="17">
        <f>IF(D148="","",SUMIFS(Befüllprotokoll!$I$6:$I$305,Befüllprotokoll!$B$6:$B$305,$B148,Befüllprotokoll!$C$6:$C$305,$C148))</f>
        <v/>
      </c>
      <c r="H148" s="19">
        <f>IF(D148="","",F148-G148)</f>
        <v/>
      </c>
      <c r="I148" s="9" t="n"/>
    </row>
    <row r="149">
      <c r="B149" s="11" t="n"/>
      <c r="C149" s="9" t="n"/>
      <c r="D149" s="16" t="n"/>
      <c r="E149" s="16" t="n"/>
      <c r="F149" s="17">
        <f>IF(D149="","",D149-E149)</f>
        <v/>
      </c>
      <c r="G149" s="17">
        <f>IF(D149="","",SUMIFS(Befüllprotokoll!$I$6:$I$305,Befüllprotokoll!$B$6:$B$305,$B149,Befüllprotokoll!$C$6:$C$305,$C149))</f>
        <v/>
      </c>
      <c r="H149" s="19">
        <f>IF(D149="","",F149-G149)</f>
        <v/>
      </c>
      <c r="I149" s="9" t="n"/>
    </row>
    <row r="150">
      <c r="B150" s="11" t="n"/>
      <c r="C150" s="9" t="n"/>
      <c r="D150" s="16" t="n"/>
      <c r="E150" s="16" t="n"/>
      <c r="F150" s="17">
        <f>IF(D150="","",D150-E150)</f>
        <v/>
      </c>
      <c r="G150" s="17">
        <f>IF(D150="","",SUMIFS(Befüllprotokoll!$I$6:$I$305,Befüllprotokoll!$B$6:$B$305,$B150,Befüllprotokoll!$C$6:$C$305,$C150))</f>
        <v/>
      </c>
      <c r="H150" s="19">
        <f>IF(D150="","",F150-G150)</f>
        <v/>
      </c>
      <c r="I150" s="9" t="n"/>
    </row>
    <row r="151">
      <c r="B151" s="11" t="n"/>
      <c r="C151" s="9" t="n"/>
      <c r="D151" s="16" t="n"/>
      <c r="E151" s="16" t="n"/>
      <c r="F151" s="17">
        <f>IF(D151="","",D151-E151)</f>
        <v/>
      </c>
      <c r="G151" s="17">
        <f>IF(D151="","",SUMIFS(Befüllprotokoll!$I$6:$I$305,Befüllprotokoll!$B$6:$B$305,$B151,Befüllprotokoll!$C$6:$C$305,$C151))</f>
        <v/>
      </c>
      <c r="H151" s="19">
        <f>IF(D151="","",F151-G151)</f>
        <v/>
      </c>
      <c r="I151" s="9" t="n"/>
    </row>
    <row r="152">
      <c r="B152" s="11" t="n"/>
      <c r="C152" s="9" t="n"/>
      <c r="D152" s="16" t="n"/>
      <c r="E152" s="16" t="n"/>
      <c r="F152" s="17">
        <f>IF(D152="","",D152-E152)</f>
        <v/>
      </c>
      <c r="G152" s="17">
        <f>IF(D152="","",SUMIFS(Befüllprotokoll!$I$6:$I$305,Befüllprotokoll!$B$6:$B$305,$B152,Befüllprotokoll!$C$6:$C$305,$C152))</f>
        <v/>
      </c>
      <c r="H152" s="19">
        <f>IF(D152="","",F152-G152)</f>
        <v/>
      </c>
      <c r="I152" s="9" t="n"/>
    </row>
    <row r="153">
      <c r="B153" s="11" t="n"/>
      <c r="C153" s="9" t="n"/>
      <c r="D153" s="16" t="n"/>
      <c r="E153" s="16" t="n"/>
      <c r="F153" s="17">
        <f>IF(D153="","",D153-E153)</f>
        <v/>
      </c>
      <c r="G153" s="17">
        <f>IF(D153="","",SUMIFS(Befüllprotokoll!$I$6:$I$305,Befüllprotokoll!$B$6:$B$305,$B153,Befüllprotokoll!$C$6:$C$305,$C153))</f>
        <v/>
      </c>
      <c r="H153" s="19">
        <f>IF(D153="","",F153-G153)</f>
        <v/>
      </c>
      <c r="I153" s="9" t="n"/>
    </row>
    <row r="154">
      <c r="B154" s="11" t="n"/>
      <c r="C154" s="9" t="n"/>
      <c r="D154" s="16" t="n"/>
      <c r="E154" s="16" t="n"/>
      <c r="F154" s="17">
        <f>IF(D154="","",D154-E154)</f>
        <v/>
      </c>
      <c r="G154" s="17">
        <f>IF(D154="","",SUMIFS(Befüllprotokoll!$I$6:$I$305,Befüllprotokoll!$B$6:$B$305,$B154,Befüllprotokoll!$C$6:$C$305,$C154))</f>
        <v/>
      </c>
      <c r="H154" s="19">
        <f>IF(D154="","",F154-G154)</f>
        <v/>
      </c>
      <c r="I154" s="9" t="n"/>
    </row>
    <row r="155">
      <c r="B155" s="11" t="n"/>
      <c r="C155" s="9" t="n"/>
      <c r="D155" s="16" t="n"/>
      <c r="E155" s="16" t="n"/>
      <c r="F155" s="17">
        <f>IF(D155="","",D155-E155)</f>
        <v/>
      </c>
      <c r="G155" s="17">
        <f>IF(D155="","",SUMIFS(Befüllprotokoll!$I$6:$I$305,Befüllprotokoll!$B$6:$B$305,$B155,Befüllprotokoll!$C$6:$C$305,$C155))</f>
        <v/>
      </c>
      <c r="H155" s="19">
        <f>IF(D155="","",F155-G155)</f>
        <v/>
      </c>
      <c r="I155" s="9" t="n"/>
    </row>
    <row r="157">
      <c r="B157" s="20" t="inlineStr">
        <is>
          <t>Summe Rohertrag</t>
        </is>
      </c>
      <c r="H157" s="19">
        <f>SUM(H6:H155)</f>
        <v/>
      </c>
    </row>
    <row r="158">
      <c r="B158" s="21" t="inlineStr">
        <is>
          <t>Summe Einnahmen</t>
        </is>
      </c>
      <c r="F158" s="22">
        <f>SUM(F6:F155)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F46"/>
  <sheetViews>
    <sheetView showGridLines="0" workbookViewId="0">
      <selection activeCell="A1" sqref="A1"/>
    </sheetView>
  </sheetViews>
  <sheetFormatPr baseColWidth="8" defaultRowHeight="15"/>
  <cols>
    <col width="2" customWidth="1" min="1" max="1"/>
    <col width="30" customWidth="1" min="2" max="2"/>
    <col width="16" customWidth="1" min="3" max="3"/>
    <col width="13" customWidth="1" min="4" max="4"/>
    <col width="14" customWidth="1" min="5" max="5"/>
    <col width="18" customWidth="1" min="6" max="6"/>
  </cols>
  <sheetData>
    <row r="2">
      <c r="B2" s="6" t="inlineStr">
        <is>
          <t>Auswertung</t>
        </is>
      </c>
    </row>
    <row r="3">
      <c r="B3" s="7" t="inlineStr">
        <is>
          <t>Welcher Artikel läuft an welchem Standort — und welcher bindet nur Kapital?</t>
        </is>
      </c>
    </row>
    <row r="5">
      <c r="B5" s="21" t="inlineStr">
        <is>
          <t>Ladenhüter-Grenze (Stück im ganzen Zeitraum)</t>
        </is>
      </c>
      <c r="C5" s="10" t="n">
        <v>10</v>
      </c>
      <c r="D5" s="23" t="inlineStr">
        <is>
          <t>Alles darunter wird als Ladenhüter markiert. Setz die Grenze so, wie es zu deinem Zeitraum passt.</t>
        </is>
      </c>
    </row>
    <row r="7" ht="30" customHeight="1">
      <c r="B7" s="8" t="inlineStr">
        <is>
          <t>Artikel</t>
        </is>
      </c>
      <c r="C7" s="8" t="inlineStr">
        <is>
          <t>Automat (leer = alle)</t>
        </is>
      </c>
      <c r="D7" s="8" t="inlineStr">
        <is>
          <t>Stück verkauft</t>
        </is>
      </c>
      <c r="E7" s="8" t="inlineStr">
        <is>
          <t>Wareneinsatz</t>
        </is>
      </c>
      <c r="F7" s="8" t="inlineStr">
        <is>
          <t>Bewertung</t>
        </is>
      </c>
    </row>
    <row r="8">
      <c r="B8" s="9" t="inlineStr">
        <is>
          <t>Schokoriegel 50 g</t>
        </is>
      </c>
      <c r="C8" s="9" t="inlineStr"/>
      <c r="D8" s="13">
        <f>IF(B8="","",SUMIFS(Befüllprotokoll!$G$6:$G$305,Befüllprotokoll!$D$6:$D$305,$B8,Befüllprotokoll!$C$6:$C$305,IF($C8="","&lt;&gt;",$C8)))</f>
        <v/>
      </c>
      <c r="E8" s="17">
        <f>IF(B8="","",SUMIFS(Befüllprotokoll!$I$6:$I$305,Befüllprotokoll!$D$6:$D$305,$B8,Befüllprotokoll!$C$6:$C$305,IF($C8="","&lt;&gt;",$C8)))</f>
        <v/>
      </c>
      <c r="F8" s="14">
        <f>IF(B8="","",IF(D8&lt;$C$5,"Ladenhüter — austauschen",IF(D8&lt;$C$5*2,"läuft mäßig","läuft gut")))</f>
        <v/>
      </c>
    </row>
    <row r="9">
      <c r="B9" s="9" t="inlineStr">
        <is>
          <t>Chips 40 g</t>
        </is>
      </c>
      <c r="C9" s="9" t="inlineStr"/>
      <c r="D9" s="13">
        <f>IF(B9="","",SUMIFS(Befüllprotokoll!$G$6:$G$305,Befüllprotokoll!$D$6:$D$305,$B9,Befüllprotokoll!$C$6:$C$305,IF($C9="","&lt;&gt;",$C9)))</f>
        <v/>
      </c>
      <c r="E9" s="17">
        <f>IF(B9="","",SUMIFS(Befüllprotokoll!$I$6:$I$305,Befüllprotokoll!$D$6:$D$305,$B9,Befüllprotokoll!$C$6:$C$305,IF($C9="","&lt;&gt;",$C9)))</f>
        <v/>
      </c>
      <c r="F9" s="14">
        <f>IF(B9="","",IF(D9&lt;$C$5,"Ladenhüter — austauschen",IF(D9&lt;$C$5*2,"läuft mäßig","läuft gut")))</f>
        <v/>
      </c>
    </row>
    <row r="10">
      <c r="B10" s="9" t="inlineStr">
        <is>
          <t>Wasser 0,5 l</t>
        </is>
      </c>
      <c r="C10" s="9" t="inlineStr"/>
      <c r="D10" s="13">
        <f>IF(B10="","",SUMIFS(Befüllprotokoll!$G$6:$G$305,Befüllprotokoll!$D$6:$D$305,$B10,Befüllprotokoll!$C$6:$C$305,IF($C10="","&lt;&gt;",$C10)))</f>
        <v/>
      </c>
      <c r="E10" s="17">
        <f>IF(B10="","",SUMIFS(Befüllprotokoll!$I$6:$I$305,Befüllprotokoll!$D$6:$D$305,$B10,Befüllprotokoll!$C$6:$C$305,IF($C10="","&lt;&gt;",$C10)))</f>
        <v/>
      </c>
      <c r="F10" s="14">
        <f>IF(B10="","",IF(D10&lt;$C$5,"Ladenhüter — austauschen",IF(D10&lt;$C$5*2,"läuft mäßig","läuft gut")))</f>
        <v/>
      </c>
    </row>
    <row r="11">
      <c r="B11" s="9" t="inlineStr">
        <is>
          <t>Softdrink 0,5 l</t>
        </is>
      </c>
      <c r="C11" s="9" t="inlineStr"/>
      <c r="D11" s="13">
        <f>IF(B11="","",SUMIFS(Befüllprotokoll!$G$6:$G$305,Befüllprotokoll!$D$6:$D$305,$B11,Befüllprotokoll!$C$6:$C$305,IF($C11="","&lt;&gt;",$C11)))</f>
        <v/>
      </c>
      <c r="E11" s="17">
        <f>IF(B11="","",SUMIFS(Befüllprotokoll!$I$6:$I$305,Befüllprotokoll!$D$6:$D$305,$B11,Befüllprotokoll!$C$6:$C$305,IF($C11="","&lt;&gt;",$C11)))</f>
        <v/>
      </c>
      <c r="F11" s="14">
        <f>IF(B11="","",IF(D11&lt;$C$5,"Ladenhüter — austauschen",IF(D11&lt;$C$5*2,"läuft mäßig","läuft gut")))</f>
        <v/>
      </c>
    </row>
    <row r="12">
      <c r="B12" s="9" t="n"/>
      <c r="C12" s="9" t="n"/>
      <c r="D12" s="13">
        <f>IF(B12="","",SUMIFS(Befüllprotokoll!$G$6:$G$305,Befüllprotokoll!$D$6:$D$305,$B12,Befüllprotokoll!$C$6:$C$305,IF($C12="","&lt;&gt;",$C12)))</f>
        <v/>
      </c>
      <c r="E12" s="17">
        <f>IF(B12="","",SUMIFS(Befüllprotokoll!$I$6:$I$305,Befüllprotokoll!$D$6:$D$305,$B12,Befüllprotokoll!$C$6:$C$305,IF($C12="","&lt;&gt;",$C12)))</f>
        <v/>
      </c>
      <c r="F12" s="14">
        <f>IF(B12="","",IF(D12&lt;$C$5,"Ladenhüter — austauschen",IF(D12&lt;$C$5*2,"läuft mäßig","läuft gut")))</f>
        <v/>
      </c>
    </row>
    <row r="13">
      <c r="B13" s="9" t="n"/>
      <c r="C13" s="9" t="n"/>
      <c r="D13" s="13">
        <f>IF(B13="","",SUMIFS(Befüllprotokoll!$G$6:$G$305,Befüllprotokoll!$D$6:$D$305,$B13,Befüllprotokoll!$C$6:$C$305,IF($C13="","&lt;&gt;",$C13)))</f>
        <v/>
      </c>
      <c r="E13" s="17">
        <f>IF(B13="","",SUMIFS(Befüllprotokoll!$I$6:$I$305,Befüllprotokoll!$D$6:$D$305,$B13,Befüllprotokoll!$C$6:$C$305,IF($C13="","&lt;&gt;",$C13)))</f>
        <v/>
      </c>
      <c r="F13" s="14">
        <f>IF(B13="","",IF(D13&lt;$C$5,"Ladenhüter — austauschen",IF(D13&lt;$C$5*2,"läuft mäßig","läuft gut")))</f>
        <v/>
      </c>
    </row>
    <row r="14">
      <c r="B14" s="9" t="n"/>
      <c r="C14" s="9" t="n"/>
      <c r="D14" s="13">
        <f>IF(B14="","",SUMIFS(Befüllprotokoll!$G$6:$G$305,Befüllprotokoll!$D$6:$D$305,$B14,Befüllprotokoll!$C$6:$C$305,IF($C14="","&lt;&gt;",$C14)))</f>
        <v/>
      </c>
      <c r="E14" s="17">
        <f>IF(B14="","",SUMIFS(Befüllprotokoll!$I$6:$I$305,Befüllprotokoll!$D$6:$D$305,$B14,Befüllprotokoll!$C$6:$C$305,IF($C14="","&lt;&gt;",$C14)))</f>
        <v/>
      </c>
      <c r="F14" s="14">
        <f>IF(B14="","",IF(D14&lt;$C$5,"Ladenhüter — austauschen",IF(D14&lt;$C$5*2,"läuft mäßig","läuft gut")))</f>
        <v/>
      </c>
    </row>
    <row r="15">
      <c r="B15" s="9" t="n"/>
      <c r="C15" s="9" t="n"/>
      <c r="D15" s="13">
        <f>IF(B15="","",SUMIFS(Befüllprotokoll!$G$6:$G$305,Befüllprotokoll!$D$6:$D$305,$B15,Befüllprotokoll!$C$6:$C$305,IF($C15="","&lt;&gt;",$C15)))</f>
        <v/>
      </c>
      <c r="E15" s="17">
        <f>IF(B15="","",SUMIFS(Befüllprotokoll!$I$6:$I$305,Befüllprotokoll!$D$6:$D$305,$B15,Befüllprotokoll!$C$6:$C$305,IF($C15="","&lt;&gt;",$C15)))</f>
        <v/>
      </c>
      <c r="F15" s="14">
        <f>IF(B15="","",IF(D15&lt;$C$5,"Ladenhüter — austauschen",IF(D15&lt;$C$5*2,"läuft mäßig","läuft gut")))</f>
        <v/>
      </c>
    </row>
    <row r="16">
      <c r="B16" s="9" t="n"/>
      <c r="C16" s="9" t="n"/>
      <c r="D16" s="13">
        <f>IF(B16="","",SUMIFS(Befüllprotokoll!$G$6:$G$305,Befüllprotokoll!$D$6:$D$305,$B16,Befüllprotokoll!$C$6:$C$305,IF($C16="","&lt;&gt;",$C16)))</f>
        <v/>
      </c>
      <c r="E16" s="17">
        <f>IF(B16="","",SUMIFS(Befüllprotokoll!$I$6:$I$305,Befüllprotokoll!$D$6:$D$305,$B16,Befüllprotokoll!$C$6:$C$305,IF($C16="","&lt;&gt;",$C16)))</f>
        <v/>
      </c>
      <c r="F16" s="14">
        <f>IF(B16="","",IF(D16&lt;$C$5,"Ladenhüter — austauschen",IF(D16&lt;$C$5*2,"läuft mäßig","läuft gut")))</f>
        <v/>
      </c>
    </row>
    <row r="17">
      <c r="B17" s="9" t="n"/>
      <c r="C17" s="9" t="n"/>
      <c r="D17" s="13">
        <f>IF(B17="","",SUMIFS(Befüllprotokoll!$G$6:$G$305,Befüllprotokoll!$D$6:$D$305,$B17,Befüllprotokoll!$C$6:$C$305,IF($C17="","&lt;&gt;",$C17)))</f>
        <v/>
      </c>
      <c r="E17" s="17">
        <f>IF(B17="","",SUMIFS(Befüllprotokoll!$I$6:$I$305,Befüllprotokoll!$D$6:$D$305,$B17,Befüllprotokoll!$C$6:$C$305,IF($C17="","&lt;&gt;",$C17)))</f>
        <v/>
      </c>
      <c r="F17" s="14">
        <f>IF(B17="","",IF(D17&lt;$C$5,"Ladenhüter — austauschen",IF(D17&lt;$C$5*2,"läuft mäßig","läuft gut")))</f>
        <v/>
      </c>
    </row>
    <row r="18">
      <c r="B18" s="9" t="n"/>
      <c r="C18" s="9" t="n"/>
      <c r="D18" s="13">
        <f>IF(B18="","",SUMIFS(Befüllprotokoll!$G$6:$G$305,Befüllprotokoll!$D$6:$D$305,$B18,Befüllprotokoll!$C$6:$C$305,IF($C18="","&lt;&gt;",$C18)))</f>
        <v/>
      </c>
      <c r="E18" s="17">
        <f>IF(B18="","",SUMIFS(Befüllprotokoll!$I$6:$I$305,Befüllprotokoll!$D$6:$D$305,$B18,Befüllprotokoll!$C$6:$C$305,IF($C18="","&lt;&gt;",$C18)))</f>
        <v/>
      </c>
      <c r="F18" s="14">
        <f>IF(B18="","",IF(D18&lt;$C$5,"Ladenhüter — austauschen",IF(D18&lt;$C$5*2,"läuft mäßig","läuft gut")))</f>
        <v/>
      </c>
    </row>
    <row r="19">
      <c r="B19" s="9" t="n"/>
      <c r="C19" s="9" t="n"/>
      <c r="D19" s="13">
        <f>IF(B19="","",SUMIFS(Befüllprotokoll!$G$6:$G$305,Befüllprotokoll!$D$6:$D$305,$B19,Befüllprotokoll!$C$6:$C$305,IF($C19="","&lt;&gt;",$C19)))</f>
        <v/>
      </c>
      <c r="E19" s="17">
        <f>IF(B19="","",SUMIFS(Befüllprotokoll!$I$6:$I$305,Befüllprotokoll!$D$6:$D$305,$B19,Befüllprotokoll!$C$6:$C$305,IF($C19="","&lt;&gt;",$C19)))</f>
        <v/>
      </c>
      <c r="F19" s="14">
        <f>IF(B19="","",IF(D19&lt;$C$5,"Ladenhüter — austauschen",IF(D19&lt;$C$5*2,"läuft mäßig","läuft gut")))</f>
        <v/>
      </c>
    </row>
    <row r="20">
      <c r="B20" s="9" t="n"/>
      <c r="C20" s="9" t="n"/>
      <c r="D20" s="13">
        <f>IF(B20="","",SUMIFS(Befüllprotokoll!$G$6:$G$305,Befüllprotokoll!$D$6:$D$305,$B20,Befüllprotokoll!$C$6:$C$305,IF($C20="","&lt;&gt;",$C20)))</f>
        <v/>
      </c>
      <c r="E20" s="17">
        <f>IF(B20="","",SUMIFS(Befüllprotokoll!$I$6:$I$305,Befüllprotokoll!$D$6:$D$305,$B20,Befüllprotokoll!$C$6:$C$305,IF($C20="","&lt;&gt;",$C20)))</f>
        <v/>
      </c>
      <c r="F20" s="14">
        <f>IF(B20="","",IF(D20&lt;$C$5,"Ladenhüter — austauschen",IF(D20&lt;$C$5*2,"läuft mäßig","läuft gut")))</f>
        <v/>
      </c>
    </row>
    <row r="21">
      <c r="B21" s="9" t="n"/>
      <c r="C21" s="9" t="n"/>
      <c r="D21" s="13">
        <f>IF(B21="","",SUMIFS(Befüllprotokoll!$G$6:$G$305,Befüllprotokoll!$D$6:$D$305,$B21,Befüllprotokoll!$C$6:$C$305,IF($C21="","&lt;&gt;",$C21)))</f>
        <v/>
      </c>
      <c r="E21" s="17">
        <f>IF(B21="","",SUMIFS(Befüllprotokoll!$I$6:$I$305,Befüllprotokoll!$D$6:$D$305,$B21,Befüllprotokoll!$C$6:$C$305,IF($C21="","&lt;&gt;",$C21)))</f>
        <v/>
      </c>
      <c r="F21" s="14">
        <f>IF(B21="","",IF(D21&lt;$C$5,"Ladenhüter — austauschen",IF(D21&lt;$C$5*2,"läuft mäßig","läuft gut")))</f>
        <v/>
      </c>
    </row>
    <row r="22">
      <c r="B22" s="9" t="n"/>
      <c r="C22" s="9" t="n"/>
      <c r="D22" s="13">
        <f>IF(B22="","",SUMIFS(Befüllprotokoll!$G$6:$G$305,Befüllprotokoll!$D$6:$D$305,$B22,Befüllprotokoll!$C$6:$C$305,IF($C22="","&lt;&gt;",$C22)))</f>
        <v/>
      </c>
      <c r="E22" s="17">
        <f>IF(B22="","",SUMIFS(Befüllprotokoll!$I$6:$I$305,Befüllprotokoll!$D$6:$D$305,$B22,Befüllprotokoll!$C$6:$C$305,IF($C22="","&lt;&gt;",$C22)))</f>
        <v/>
      </c>
      <c r="F22" s="14">
        <f>IF(B22="","",IF(D22&lt;$C$5,"Ladenhüter — austauschen",IF(D22&lt;$C$5*2,"läuft mäßig","läuft gut")))</f>
        <v/>
      </c>
    </row>
    <row r="23">
      <c r="B23" s="9" t="n"/>
      <c r="C23" s="9" t="n"/>
      <c r="D23" s="13">
        <f>IF(B23="","",SUMIFS(Befüllprotokoll!$G$6:$G$305,Befüllprotokoll!$D$6:$D$305,$B23,Befüllprotokoll!$C$6:$C$305,IF($C23="","&lt;&gt;",$C23)))</f>
        <v/>
      </c>
      <c r="E23" s="17">
        <f>IF(B23="","",SUMIFS(Befüllprotokoll!$I$6:$I$305,Befüllprotokoll!$D$6:$D$305,$B23,Befüllprotokoll!$C$6:$C$305,IF($C23="","&lt;&gt;",$C23)))</f>
        <v/>
      </c>
      <c r="F23" s="14">
        <f>IF(B23="","",IF(D23&lt;$C$5,"Ladenhüter — austauschen",IF(D23&lt;$C$5*2,"läuft mäßig","läuft gut")))</f>
        <v/>
      </c>
    </row>
    <row r="24">
      <c r="B24" s="9" t="n"/>
      <c r="C24" s="9" t="n"/>
      <c r="D24" s="13">
        <f>IF(B24="","",SUMIFS(Befüllprotokoll!$G$6:$G$305,Befüllprotokoll!$D$6:$D$305,$B24,Befüllprotokoll!$C$6:$C$305,IF($C24="","&lt;&gt;",$C24)))</f>
        <v/>
      </c>
      <c r="E24" s="17">
        <f>IF(B24="","",SUMIFS(Befüllprotokoll!$I$6:$I$305,Befüllprotokoll!$D$6:$D$305,$B24,Befüllprotokoll!$C$6:$C$305,IF($C24="","&lt;&gt;",$C24)))</f>
        <v/>
      </c>
      <c r="F24" s="14">
        <f>IF(B24="","",IF(D24&lt;$C$5,"Ladenhüter — austauschen",IF(D24&lt;$C$5*2,"läuft mäßig","läuft gut")))</f>
        <v/>
      </c>
    </row>
    <row r="25">
      <c r="B25" s="9" t="n"/>
      <c r="C25" s="9" t="n"/>
      <c r="D25" s="13">
        <f>IF(B25="","",SUMIFS(Befüllprotokoll!$G$6:$G$305,Befüllprotokoll!$D$6:$D$305,$B25,Befüllprotokoll!$C$6:$C$305,IF($C25="","&lt;&gt;",$C25)))</f>
        <v/>
      </c>
      <c r="E25" s="17">
        <f>IF(B25="","",SUMIFS(Befüllprotokoll!$I$6:$I$305,Befüllprotokoll!$D$6:$D$305,$B25,Befüllprotokoll!$C$6:$C$305,IF($C25="","&lt;&gt;",$C25)))</f>
        <v/>
      </c>
      <c r="F25" s="14">
        <f>IF(B25="","",IF(D25&lt;$C$5,"Ladenhüter — austauschen",IF(D25&lt;$C$5*2,"läuft mäßig","läuft gut")))</f>
        <v/>
      </c>
    </row>
    <row r="26">
      <c r="B26" s="9" t="n"/>
      <c r="C26" s="9" t="n"/>
      <c r="D26" s="13">
        <f>IF(B26="","",SUMIFS(Befüllprotokoll!$G$6:$G$305,Befüllprotokoll!$D$6:$D$305,$B26,Befüllprotokoll!$C$6:$C$305,IF($C26="","&lt;&gt;",$C26)))</f>
        <v/>
      </c>
      <c r="E26" s="17">
        <f>IF(B26="","",SUMIFS(Befüllprotokoll!$I$6:$I$305,Befüllprotokoll!$D$6:$D$305,$B26,Befüllprotokoll!$C$6:$C$305,IF($C26="","&lt;&gt;",$C26)))</f>
        <v/>
      </c>
      <c r="F26" s="14">
        <f>IF(B26="","",IF(D26&lt;$C$5,"Ladenhüter — austauschen",IF(D26&lt;$C$5*2,"läuft mäßig","läuft gut")))</f>
        <v/>
      </c>
    </row>
    <row r="27">
      <c r="B27" s="9" t="n"/>
      <c r="C27" s="9" t="n"/>
      <c r="D27" s="13">
        <f>IF(B27="","",SUMIFS(Befüllprotokoll!$G$6:$G$305,Befüllprotokoll!$D$6:$D$305,$B27,Befüllprotokoll!$C$6:$C$305,IF($C27="","&lt;&gt;",$C27)))</f>
        <v/>
      </c>
      <c r="E27" s="17">
        <f>IF(B27="","",SUMIFS(Befüllprotokoll!$I$6:$I$305,Befüllprotokoll!$D$6:$D$305,$B27,Befüllprotokoll!$C$6:$C$305,IF($C27="","&lt;&gt;",$C27)))</f>
        <v/>
      </c>
      <c r="F27" s="14">
        <f>IF(B27="","",IF(D27&lt;$C$5,"Ladenhüter — austauschen",IF(D27&lt;$C$5*2,"läuft mäßig","läuft gut")))</f>
        <v/>
      </c>
    </row>
    <row r="28">
      <c r="B28" s="9" t="n"/>
      <c r="C28" s="9" t="n"/>
      <c r="D28" s="13">
        <f>IF(B28="","",SUMIFS(Befüllprotokoll!$G$6:$G$305,Befüllprotokoll!$D$6:$D$305,$B28,Befüllprotokoll!$C$6:$C$305,IF($C28="","&lt;&gt;",$C28)))</f>
        <v/>
      </c>
      <c r="E28" s="17">
        <f>IF(B28="","",SUMIFS(Befüllprotokoll!$I$6:$I$305,Befüllprotokoll!$D$6:$D$305,$B28,Befüllprotokoll!$C$6:$C$305,IF($C28="","&lt;&gt;",$C28)))</f>
        <v/>
      </c>
      <c r="F28" s="14">
        <f>IF(B28="","",IF(D28&lt;$C$5,"Ladenhüter — austauschen",IF(D28&lt;$C$5*2,"läuft mäßig","läuft gut")))</f>
        <v/>
      </c>
    </row>
    <row r="29">
      <c r="B29" s="9" t="n"/>
      <c r="C29" s="9" t="n"/>
      <c r="D29" s="13">
        <f>IF(B29="","",SUMIFS(Befüllprotokoll!$G$6:$G$305,Befüllprotokoll!$D$6:$D$305,$B29,Befüllprotokoll!$C$6:$C$305,IF($C29="","&lt;&gt;",$C29)))</f>
        <v/>
      </c>
      <c r="E29" s="17">
        <f>IF(B29="","",SUMIFS(Befüllprotokoll!$I$6:$I$305,Befüllprotokoll!$D$6:$D$305,$B29,Befüllprotokoll!$C$6:$C$305,IF($C29="","&lt;&gt;",$C29)))</f>
        <v/>
      </c>
      <c r="F29" s="14">
        <f>IF(B29="","",IF(D29&lt;$C$5,"Ladenhüter — austauschen",IF(D29&lt;$C$5*2,"läuft mäßig","läuft gut")))</f>
        <v/>
      </c>
    </row>
    <row r="30">
      <c r="B30" s="9" t="n"/>
      <c r="C30" s="9" t="n"/>
      <c r="D30" s="13">
        <f>IF(B30="","",SUMIFS(Befüllprotokoll!$G$6:$G$305,Befüllprotokoll!$D$6:$D$305,$B30,Befüllprotokoll!$C$6:$C$305,IF($C30="","&lt;&gt;",$C30)))</f>
        <v/>
      </c>
      <c r="E30" s="17">
        <f>IF(B30="","",SUMIFS(Befüllprotokoll!$I$6:$I$305,Befüllprotokoll!$D$6:$D$305,$B30,Befüllprotokoll!$C$6:$C$305,IF($C30="","&lt;&gt;",$C30)))</f>
        <v/>
      </c>
      <c r="F30" s="14">
        <f>IF(B30="","",IF(D30&lt;$C$5,"Ladenhüter — austauschen",IF(D30&lt;$C$5*2,"läuft mäßig","läuft gut")))</f>
        <v/>
      </c>
    </row>
    <row r="31">
      <c r="B31" s="9" t="n"/>
      <c r="C31" s="9" t="n"/>
      <c r="D31" s="13">
        <f>IF(B31="","",SUMIFS(Befüllprotokoll!$G$6:$G$305,Befüllprotokoll!$D$6:$D$305,$B31,Befüllprotokoll!$C$6:$C$305,IF($C31="","&lt;&gt;",$C31)))</f>
        <v/>
      </c>
      <c r="E31" s="17">
        <f>IF(B31="","",SUMIFS(Befüllprotokoll!$I$6:$I$305,Befüllprotokoll!$D$6:$D$305,$B31,Befüllprotokoll!$C$6:$C$305,IF($C31="","&lt;&gt;",$C31)))</f>
        <v/>
      </c>
      <c r="F31" s="14">
        <f>IF(B31="","",IF(D31&lt;$C$5,"Ladenhüter — austauschen",IF(D31&lt;$C$5*2,"läuft mäßig","läuft gut")))</f>
        <v/>
      </c>
    </row>
    <row r="32">
      <c r="B32" s="9" t="n"/>
      <c r="C32" s="9" t="n"/>
      <c r="D32" s="13">
        <f>IF(B32="","",SUMIFS(Befüllprotokoll!$G$6:$G$305,Befüllprotokoll!$D$6:$D$305,$B32,Befüllprotokoll!$C$6:$C$305,IF($C32="","&lt;&gt;",$C32)))</f>
        <v/>
      </c>
      <c r="E32" s="17">
        <f>IF(B32="","",SUMIFS(Befüllprotokoll!$I$6:$I$305,Befüllprotokoll!$D$6:$D$305,$B32,Befüllprotokoll!$C$6:$C$305,IF($C32="","&lt;&gt;",$C32)))</f>
        <v/>
      </c>
      <c r="F32" s="14">
        <f>IF(B32="","",IF(D32&lt;$C$5,"Ladenhüter — austauschen",IF(D32&lt;$C$5*2,"läuft mäßig","läuft gut")))</f>
        <v/>
      </c>
    </row>
    <row r="33">
      <c r="B33" s="9" t="n"/>
      <c r="C33" s="9" t="n"/>
      <c r="D33" s="13">
        <f>IF(B33="","",SUMIFS(Befüllprotokoll!$G$6:$G$305,Befüllprotokoll!$D$6:$D$305,$B33,Befüllprotokoll!$C$6:$C$305,IF($C33="","&lt;&gt;",$C33)))</f>
        <v/>
      </c>
      <c r="E33" s="17">
        <f>IF(B33="","",SUMIFS(Befüllprotokoll!$I$6:$I$305,Befüllprotokoll!$D$6:$D$305,$B33,Befüllprotokoll!$C$6:$C$305,IF($C33="","&lt;&gt;",$C33)))</f>
        <v/>
      </c>
      <c r="F33" s="14">
        <f>IF(B33="","",IF(D33&lt;$C$5,"Ladenhüter — austauschen",IF(D33&lt;$C$5*2,"läuft mäßig","läuft gut")))</f>
        <v/>
      </c>
    </row>
    <row r="34">
      <c r="B34" s="9" t="n"/>
      <c r="C34" s="9" t="n"/>
      <c r="D34" s="13">
        <f>IF(B34="","",SUMIFS(Befüllprotokoll!$G$6:$G$305,Befüllprotokoll!$D$6:$D$305,$B34,Befüllprotokoll!$C$6:$C$305,IF($C34="","&lt;&gt;",$C34)))</f>
        <v/>
      </c>
      <c r="E34" s="17">
        <f>IF(B34="","",SUMIFS(Befüllprotokoll!$I$6:$I$305,Befüllprotokoll!$D$6:$D$305,$B34,Befüllprotokoll!$C$6:$C$305,IF($C34="","&lt;&gt;",$C34)))</f>
        <v/>
      </c>
      <c r="F34" s="14">
        <f>IF(B34="","",IF(D34&lt;$C$5,"Ladenhüter — austauschen",IF(D34&lt;$C$5*2,"läuft mäßig","läuft gut")))</f>
        <v/>
      </c>
    </row>
    <row r="35">
      <c r="B35" s="9" t="n"/>
      <c r="C35" s="9" t="n"/>
      <c r="D35" s="13">
        <f>IF(B35="","",SUMIFS(Befüllprotokoll!$G$6:$G$305,Befüllprotokoll!$D$6:$D$305,$B35,Befüllprotokoll!$C$6:$C$305,IF($C35="","&lt;&gt;",$C35)))</f>
        <v/>
      </c>
      <c r="E35" s="17">
        <f>IF(B35="","",SUMIFS(Befüllprotokoll!$I$6:$I$305,Befüllprotokoll!$D$6:$D$305,$B35,Befüllprotokoll!$C$6:$C$305,IF($C35="","&lt;&gt;",$C35)))</f>
        <v/>
      </c>
      <c r="F35" s="14">
        <f>IF(B35="","",IF(D35&lt;$C$5,"Ladenhüter — austauschen",IF(D35&lt;$C$5*2,"läuft mäßig","läuft gut")))</f>
        <v/>
      </c>
    </row>
    <row r="36">
      <c r="B36" s="9" t="n"/>
      <c r="C36" s="9" t="n"/>
      <c r="D36" s="13">
        <f>IF(B36="","",SUMIFS(Befüllprotokoll!$G$6:$G$305,Befüllprotokoll!$D$6:$D$305,$B36,Befüllprotokoll!$C$6:$C$305,IF($C36="","&lt;&gt;",$C36)))</f>
        <v/>
      </c>
      <c r="E36" s="17">
        <f>IF(B36="","",SUMIFS(Befüllprotokoll!$I$6:$I$305,Befüllprotokoll!$D$6:$D$305,$B36,Befüllprotokoll!$C$6:$C$305,IF($C36="","&lt;&gt;",$C36)))</f>
        <v/>
      </c>
      <c r="F36" s="14">
        <f>IF(B36="","",IF(D36&lt;$C$5,"Ladenhüter — austauschen",IF(D36&lt;$C$5*2,"läuft mäßig","läuft gut")))</f>
        <v/>
      </c>
    </row>
    <row r="37">
      <c r="B37" s="9" t="n"/>
      <c r="C37" s="9" t="n"/>
      <c r="D37" s="13">
        <f>IF(B37="","",SUMIFS(Befüllprotokoll!$G$6:$G$305,Befüllprotokoll!$D$6:$D$305,$B37,Befüllprotokoll!$C$6:$C$305,IF($C37="","&lt;&gt;",$C37)))</f>
        <v/>
      </c>
      <c r="E37" s="17">
        <f>IF(B37="","",SUMIFS(Befüllprotokoll!$I$6:$I$305,Befüllprotokoll!$D$6:$D$305,$B37,Befüllprotokoll!$C$6:$C$305,IF($C37="","&lt;&gt;",$C37)))</f>
        <v/>
      </c>
      <c r="F37" s="14">
        <f>IF(B37="","",IF(D37&lt;$C$5,"Ladenhüter — austauschen",IF(D37&lt;$C$5*2,"läuft mäßig","läuft gut")))</f>
        <v/>
      </c>
    </row>
    <row r="39">
      <c r="B39" s="4" t="inlineStr">
        <is>
          <t>SO NUTZT DU DAS</t>
        </is>
      </c>
    </row>
    <row r="41">
      <c r="B41" s="3" t="inlineStr">
        <is>
          <t>Lass die Spalte „Automat“ leer, um einen Artikel über alle Standorte zu sehen. Trag eine Automaten-Nummer ein, um ihn nur an diesem Standort auszuwerten. Derselbe Artikel kann an einem Standort ein Verkaufsschlager und am nächsten ein Ladenhüter sein — genau das willst du sehen.</t>
        </is>
      </c>
    </row>
    <row r="43">
      <c r="B43" s="3" t="inlineStr">
        <is>
          <t>Ein Ladenhüter kostet dich doppelt: Er bindet Geld, und er belegt einen Schacht, der verdienen könnte. Tausch ihn gegen etwas aus, das am selben Standort schon läuft — oder gegen eine Variante davon.</t>
        </is>
      </c>
    </row>
    <row r="46">
      <c r="B46" s="5" t="inlineStr">
        <is>
          <t>Arbeitshilfe, keine Rechts- oder Steuerberatung. Stand: August 2026.</t>
        </is>
      </c>
    </row>
  </sheetData>
  <conditionalFormatting sqref="F8:F37">
    <cfRule type="cellIs" priority="1" operator="equal" dxfId="0">
      <formula>"Ladenhüter — austauschen"</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2026-08-05T14:53:58Z</dcterms:created>
  <dcterms:modified xsi:type="dcterms:W3CDTF">2026-08-05T14:53:58Z</dcterms:modified>
</cp:coreProperties>
</file>