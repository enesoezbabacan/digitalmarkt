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eitung" sheetId="1" state="visible" r:id="rId1"/>
    <sheet name="Meine Daten" sheetId="2" state="visible" r:id="rId2"/>
    <sheet name="Rechnung" sheetId="3" state="visible" r:id="rId3"/>
    <sheet name="Pflichtangaben" sheetId="4" state="visible" r:id="rId4"/>
    <sheet name="Rechnungsbuch" sheetId="5" state="visible" r:id="rId5"/>
  </sheets>
  <definedNames>
    <definedName name="_xlnm.Print_Area" localSheetId="2">'Rechnung'!$A$1:$F$45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TT.MM.JJJJ"/>
    <numFmt numFmtId="165" formatCode="#,##0.00 &quot;€&quot;;[Red]-#,##0.00 &quot;€&quot;;&quot;–&quot;"/>
  </numFmts>
  <fonts count="21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sz val="11"/>
    </font>
    <font>
      <name val="Arial"/>
      <b val="1"/>
      <color rgb="001F3864"/>
      <sz val="12"/>
    </font>
    <font>
      <name val="Arial"/>
      <b val="1"/>
      <color rgb="00C00000"/>
      <sz val="12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sz val="11"/>
    </font>
    <font>
      <name val="Arial"/>
      <color rgb="000000FF"/>
      <sz val="11"/>
    </font>
    <font>
      <name val="Arial"/>
      <i val="1"/>
      <color rgb="00C00000"/>
      <sz val="10"/>
    </font>
    <font>
      <name val="Arial"/>
      <color rgb="00595959"/>
      <sz val="8"/>
    </font>
    <font>
      <name val="Arial"/>
      <b val="1"/>
      <color rgb="00595959"/>
      <sz val="9"/>
    </font>
    <font>
      <name val="Arial"/>
      <b val="1"/>
      <color rgb="001F3864"/>
      <sz val="22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3"/>
    </font>
    <font>
      <name val="Arial"/>
      <i val="1"/>
      <sz val="10"/>
    </font>
    <font>
      <name val="Arial"/>
      <b val="1"/>
      <sz val="13"/>
    </font>
    <font>
      <name val="Arial"/>
      <color rgb="00C00000"/>
      <sz val="10"/>
    </font>
    <font>
      <name val="Arial"/>
      <i val="1"/>
      <color rgb="00808080"/>
      <sz val="10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9E2F3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1" pivotButton="0" quotePrefix="0" xfId="0"/>
    <xf numFmtId="0" fontId="8" fillId="2" borderId="1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164" fontId="8" fillId="2" borderId="1" pivotButton="0" quotePrefix="0" xfId="0"/>
    <xf numFmtId="0" fontId="14" fillId="3" borderId="1" applyAlignment="1" pivotButton="0" quotePrefix="0" xfId="0">
      <alignment horizontal="center"/>
    </xf>
    <xf numFmtId="0" fontId="15" fillId="2" borderId="1" pivotButton="0" quotePrefix="0" xfId="0"/>
    <xf numFmtId="165" fontId="15" fillId="2" borderId="1" pivotButton="0" quotePrefix="0" xfId="0"/>
    <xf numFmtId="165" fontId="15" fillId="4" borderId="1" pivotButton="0" quotePrefix="0" xfId="0"/>
    <xf numFmtId="0" fontId="7" fillId="0" borderId="0" pivotButton="0" quotePrefix="0" xfId="0"/>
    <xf numFmtId="165" fontId="2" fillId="0" borderId="1" pivotButton="0" quotePrefix="0" xfId="0"/>
    <xf numFmtId="0" fontId="16" fillId="3" borderId="0" pivotButton="0" quotePrefix="0" xfId="0"/>
    <xf numFmtId="165" fontId="16" fillId="3" borderId="0" pivotButton="0" quotePrefix="0" xfId="0"/>
    <xf numFmtId="0" fontId="17" fillId="0" borderId="0" pivotButton="0" quotePrefix="0" xfId="0"/>
    <xf numFmtId="0" fontId="15" fillId="0" borderId="0" pivotButton="0" quotePrefix="0" xfId="0"/>
    <xf numFmtId="0" fontId="2" fillId="0" borderId="1" pivotButton="0" quotePrefix="0" xfId="0"/>
    <xf numFmtId="0" fontId="18" fillId="0" borderId="0" pivotButton="0" quotePrefix="0" xfId="0"/>
    <xf numFmtId="0" fontId="18" fillId="2" borderId="1" pivotButton="0" quotePrefix="0" xfId="0"/>
    <xf numFmtId="0" fontId="19" fillId="0" borderId="0" pivotButton="0" quotePrefix="0" xfId="0"/>
    <xf numFmtId="164" fontId="15" fillId="2" borderId="1" pivotButton="0" quotePrefix="0" xfId="0"/>
    <xf numFmtId="0" fontId="15" fillId="4" borderId="1" pivotButton="0" quotePrefix="0" xfId="0"/>
    <xf numFmtId="165" fontId="7" fillId="5" borderId="1" pivotButton="0" quotePrefix="0" xfId="0"/>
    <xf numFmtId="165" fontId="7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5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Rechnungsvorlage mit allen Pflichtangaben</t>
        </is>
      </c>
    </row>
    <row r="3">
      <c r="B3" s="2" t="inlineStr"/>
    </row>
    <row r="4">
      <c r="B4" s="3" t="inlineStr">
        <is>
          <t>So gehst du vor</t>
        </is>
      </c>
    </row>
    <row r="5">
      <c r="B5" s="2" t="inlineStr">
        <is>
          <t>1. Blatt „Meine Daten“ einmalig ausfüllen — das erscheint auf jeder Rechnung.</t>
        </is>
      </c>
    </row>
    <row r="6">
      <c r="B6" s="2" t="inlineStr">
        <is>
          <t>2. Im Blatt „Rechnung“ Kunde, Nummer, Datum und Positionen eintragen.</t>
        </is>
      </c>
    </row>
    <row r="7">
      <c r="B7" s="2" t="inlineStr">
        <is>
          <t>3. Blatt „Pflichtangaben“ prüfen — dort steht, ob etwas fehlt.</t>
        </is>
      </c>
    </row>
    <row r="8">
      <c r="B8" s="2" t="inlineStr">
        <is>
          <t>4. Rechnung als PDF speichern: Datei → Drucken → als PDF sichern.</t>
        </is>
      </c>
    </row>
    <row r="9">
      <c r="B9" s="2" t="inlineStr">
        <is>
          <t>5. Im „Rechnungsbuch“ eintragen, damit die Nummern lückenlos bleiben.</t>
        </is>
      </c>
    </row>
    <row r="10">
      <c r="B10" s="2" t="inlineStr"/>
    </row>
    <row r="11">
      <c r="B11" s="3" t="inlineStr">
        <is>
          <t>Warum die Pflichtangaben wichtig sind</t>
        </is>
      </c>
    </row>
    <row r="12">
      <c r="B12" s="2" t="inlineStr">
        <is>
          <t>Fehlt auch nur eine Pflichtangabe nach § 14 UStG, darf dein Kunde die</t>
        </is>
      </c>
    </row>
    <row r="13">
      <c r="B13" s="2" t="inlineStr">
        <is>
          <t>Rechnung nicht als Vorsteuer geltend machen. Er wird sie zurückschicken</t>
        </is>
      </c>
    </row>
    <row r="14">
      <c r="B14" s="2" t="inlineStr">
        <is>
          <t>und eine Korrektur verlangen — im schlechtesten Fall zahlt er erst danach.</t>
        </is>
      </c>
    </row>
    <row r="15">
      <c r="B15" s="2" t="inlineStr">
        <is>
          <t>Das Blatt „Pflichtangaben“ prüft das automatisch für dich.</t>
        </is>
      </c>
    </row>
    <row r="16">
      <c r="B16" s="2" t="inlineStr"/>
    </row>
    <row r="17">
      <c r="B17" s="3" t="inlineStr">
        <is>
          <t>Die Pflichtangaben nach § 14 Abs. 4 UStG</t>
        </is>
      </c>
    </row>
    <row r="18">
      <c r="B18" s="2" t="inlineStr">
        <is>
          <t xml:space="preserve">   1. Vollständiger Name und Anschrift des leistenden Unternehmers</t>
        </is>
      </c>
    </row>
    <row r="19">
      <c r="B19" s="2" t="inlineStr">
        <is>
          <t xml:space="preserve">   2. Vollständiger Name und Anschrift des Leistungsempfängers</t>
        </is>
      </c>
    </row>
    <row r="20">
      <c r="B20" s="2" t="inlineStr">
        <is>
          <t xml:space="preserve">   3. Steuernummer oder USt-IdNr. des Leistenden</t>
        </is>
      </c>
    </row>
    <row r="21">
      <c r="B21" s="2" t="inlineStr">
        <is>
          <t xml:space="preserve">   4. Ausstellungsdatum</t>
        </is>
      </c>
    </row>
    <row r="22">
      <c r="B22" s="2" t="inlineStr">
        <is>
          <t xml:space="preserve">   5. Fortlaufende, einmalige Rechnungsnummer</t>
        </is>
      </c>
    </row>
    <row r="23">
      <c r="B23" s="2" t="inlineStr">
        <is>
          <t xml:space="preserve">   6. Menge und Art der gelieferten Gegenstände oder Leistungen</t>
        </is>
      </c>
    </row>
    <row r="24">
      <c r="B24" s="2" t="inlineStr">
        <is>
          <t xml:space="preserve">   7. Zeitpunkt der Lieferung oder Leistung</t>
        </is>
      </c>
    </row>
    <row r="25">
      <c r="B25" s="2" t="inlineStr">
        <is>
          <t xml:space="preserve">   8. Entgelt, aufgeschlüsselt nach Steuersätzen</t>
        </is>
      </c>
    </row>
    <row r="26">
      <c r="B26" s="2" t="inlineStr">
        <is>
          <t xml:space="preserve">   9. Steuersatz und Steuerbetrag — oder Hinweis auf Steuerbefreiung</t>
        </is>
      </c>
    </row>
    <row r="27">
      <c r="B27" s="2" t="inlineStr"/>
    </row>
    <row r="28">
      <c r="B28" s="3" t="inlineStr">
        <is>
          <t>Besonderheit für Kleinunternehmer</t>
        </is>
      </c>
    </row>
    <row r="29">
      <c r="B29" s="2" t="inlineStr">
        <is>
          <t>Als Kleinunternehmer nach § 19 UStG weist du KEINE Umsatzsteuer aus.</t>
        </is>
      </c>
    </row>
    <row r="30">
      <c r="B30" s="2" t="inlineStr">
        <is>
          <t>Stattdessen ist ein Hinweis auf die Steuerbefreiung Pflicht. Die Vorlage</t>
        </is>
      </c>
    </row>
    <row r="31">
      <c r="B31" s="2" t="inlineStr">
        <is>
          <t>setzt ihn automatisch, sobald du im Blatt „Meine Daten“ auf JA stellst.</t>
        </is>
      </c>
    </row>
    <row r="32">
      <c r="B32" s="2" t="inlineStr"/>
    </row>
    <row r="33">
      <c r="B33" s="3" t="inlineStr">
        <is>
          <t>Fortlaufende Nummern</t>
        </is>
      </c>
    </row>
    <row r="34">
      <c r="B34" s="2" t="inlineStr">
        <is>
          <t>Rechnungsnummern müssen fortlaufend und einmalig sein — keine Lücken,</t>
        </is>
      </c>
    </row>
    <row r="35">
      <c r="B35" s="2" t="inlineStr">
        <is>
          <t>keine Doppelvergabe. Empfohlenes Muster: 2026-001, 2026-002, 2026-003 …</t>
        </is>
      </c>
    </row>
    <row r="36">
      <c r="B36" s="2" t="inlineStr">
        <is>
          <t>Das Rechnungsbuch warnt dich, wenn eine Nummer doppelt vorkommt.</t>
        </is>
      </c>
    </row>
    <row r="37">
      <c r="B37" s="2" t="inlineStr"/>
    </row>
    <row r="38">
      <c r="B38" s="3" t="inlineStr">
        <is>
          <t>Aufbewahrung</t>
        </is>
      </c>
    </row>
    <row r="39">
      <c r="B39" s="2" t="inlineStr">
        <is>
          <t>Rechnungen musst du 10 Jahre aufbewahren, unveränderbar. Ein PDF auf</t>
        </is>
      </c>
    </row>
    <row r="40">
      <c r="B40" s="2" t="inlineStr">
        <is>
          <t>der Festplatte reicht, solange du es nicht nachträglich änderst.</t>
        </is>
      </c>
    </row>
    <row r="41">
      <c r="B41" s="2" t="inlineStr">
        <is>
          <t>Die Excel-Datei selbst ist KEIN gültiger Beleg — nur das erzeugte PDF.</t>
        </is>
      </c>
    </row>
    <row r="42">
      <c r="B42" s="2" t="inlineStr"/>
    </row>
    <row r="43">
      <c r="B43" s="4" t="inlineStr">
        <is>
          <t>Wichtiger Hinweis</t>
        </is>
      </c>
    </row>
    <row r="44">
      <c r="B44" s="2" t="inlineStr">
        <is>
          <t>Diese Vorlage ist eine Arbeitshilfe, KEINE Steuerberatung und keine</t>
        </is>
      </c>
    </row>
    <row r="45">
      <c r="B45" s="2" t="inlineStr">
        <is>
          <t>Rechtsberatung. Für die Richtigkeit deiner Rechnungen bist ausschließlich</t>
        </is>
      </c>
    </row>
    <row r="46">
      <c r="B46" s="2" t="inlineStr">
        <is>
          <t>du verantwortlich. Bei Auslandsgeschäften, Reverse Charge, Bauleistungen</t>
        </is>
      </c>
    </row>
    <row r="47">
      <c r="B47" s="2" t="inlineStr">
        <is>
          <t>oder Differenzbesteuerung gelten zusätzliche Regeln, die hier nicht</t>
        </is>
      </c>
    </row>
    <row r="48">
      <c r="B48" s="2" t="inlineStr">
        <is>
          <t>abgebildet sind. Im Zweifel: frag deinen Steuerberater.</t>
        </is>
      </c>
    </row>
    <row r="49">
      <c r="B49" s="2" t="inlineStr"/>
    </row>
    <row r="50">
      <c r="B50" s="2" t="inlineStr">
        <is>
          <t>Rechtsstand: August 2026. Steuerrecht ändert sich — prüfe die Angaben.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44" customWidth="1" min="3" max="3"/>
  </cols>
  <sheetData>
    <row r="2">
      <c r="B2" s="5" t="inlineStr">
        <is>
          <t>Meine Daten</t>
        </is>
      </c>
    </row>
    <row r="3">
      <c r="B3" s="6" t="inlineStr">
        <is>
          <t>Einmalig ausfüllen. Diese Angaben erscheinen automatisch auf jeder Rechnung.</t>
        </is>
      </c>
    </row>
    <row r="5">
      <c r="B5" s="7" t="inlineStr">
        <is>
          <t>Name / Firma</t>
        </is>
      </c>
      <c r="C5" s="8" t="inlineStr">
        <is>
          <t>Max Mustermann</t>
        </is>
      </c>
    </row>
    <row r="6">
      <c r="B6" s="7" t="inlineStr">
        <is>
          <t>Straße und Hausnummer</t>
        </is>
      </c>
      <c r="C6" s="8" t="inlineStr">
        <is>
          <t>Musterstraße 12</t>
        </is>
      </c>
    </row>
    <row r="7">
      <c r="B7" s="7" t="inlineStr">
        <is>
          <t>PLZ und Ort</t>
        </is>
      </c>
      <c r="C7" s="8" t="inlineStr">
        <is>
          <t>78234 Engen</t>
        </is>
      </c>
    </row>
    <row r="8">
      <c r="B8" s="7" t="inlineStr">
        <is>
          <t>Telefon</t>
        </is>
      </c>
      <c r="C8" s="8" t="inlineStr">
        <is>
          <t>07733 123456</t>
        </is>
      </c>
    </row>
    <row r="9">
      <c r="B9" s="7" t="inlineStr">
        <is>
          <t>E-Mail</t>
        </is>
      </c>
      <c r="C9" s="8" t="inlineStr">
        <is>
          <t>info@beispiel.de</t>
        </is>
      </c>
    </row>
    <row r="10">
      <c r="B10" s="7" t="inlineStr">
        <is>
          <t>Steuernummer</t>
        </is>
      </c>
      <c r="C10" s="8" t="inlineStr">
        <is>
          <t>12/345/67890</t>
        </is>
      </c>
    </row>
    <row r="11">
      <c r="B11" s="7" t="inlineStr">
        <is>
          <t>USt-IdNr. (falls vorhanden)</t>
        </is>
      </c>
      <c r="C11" s="8" t="inlineStr"/>
    </row>
    <row r="12">
      <c r="B12" s="7" t="inlineStr">
        <is>
          <t>Kleinunternehmer § 19 UStG?</t>
        </is>
      </c>
      <c r="C12" s="8" t="inlineStr">
        <is>
          <t>JA</t>
        </is>
      </c>
    </row>
    <row r="13">
      <c r="B13" s="7" t="inlineStr">
        <is>
          <t>Umsatzsteuersatz in % (falls nein)</t>
        </is>
      </c>
      <c r="C13" s="8" t="n">
        <v>19</v>
      </c>
    </row>
    <row r="14">
      <c r="B14" s="7" t="inlineStr">
        <is>
          <t>Bank / Institut</t>
        </is>
      </c>
      <c r="C14" s="8" t="inlineStr">
        <is>
          <t>Musterbank</t>
        </is>
      </c>
    </row>
    <row r="15">
      <c r="B15" s="7" t="inlineStr">
        <is>
          <t>IBAN</t>
        </is>
      </c>
      <c r="C15" s="8" t="inlineStr">
        <is>
          <t>DE00 0000 0000 0000 0000 00</t>
        </is>
      </c>
    </row>
    <row r="16">
      <c r="B16" s="7" t="inlineStr">
        <is>
          <t>BIC</t>
        </is>
      </c>
      <c r="C16" s="8" t="inlineStr">
        <is>
          <t>MUSTDEFFXXX</t>
        </is>
      </c>
    </row>
    <row r="17">
      <c r="B17" s="7" t="inlineStr">
        <is>
          <t>Zahlungsziel in Tagen</t>
        </is>
      </c>
      <c r="C17" s="8" t="n">
        <v>14</v>
      </c>
    </row>
    <row r="19">
      <c r="B19" s="9" t="inlineStr">
        <is>
          <t>Bei „Kleinunternehmer“ genau JA oder NEIN eintragen — davon hängt ab,</t>
        </is>
      </c>
    </row>
    <row r="20">
      <c r="B20" s="9" t="inlineStr">
        <is>
          <t>ob auf der Rechnung Umsatzsteuer ausgewiesen wird.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4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2" customWidth="1" min="3" max="3"/>
    <col width="10" customWidth="1" min="4" max="4"/>
    <col width="16" customWidth="1" min="5" max="5"/>
    <col width="18" customWidth="1" min="6" max="6"/>
  </cols>
  <sheetData>
    <row r="2">
      <c r="B2" s="10">
        <f>'Meine Daten'!C5&amp;" · "&amp;'Meine Daten'!C6&amp;" · "&amp;'Meine Daten'!C7</f>
        <v/>
      </c>
    </row>
    <row r="4">
      <c r="B4" s="11" t="inlineStr">
        <is>
          <t>Rechnungsempfänger</t>
        </is>
      </c>
    </row>
    <row r="5">
      <c r="B5" s="8" t="inlineStr">
        <is>
          <t>Kunde GmbH</t>
        </is>
      </c>
    </row>
    <row r="6">
      <c r="B6" s="8" t="inlineStr">
        <is>
          <t>Kundenstraße 5</t>
        </is>
      </c>
    </row>
    <row r="7">
      <c r="B7" s="8" t="inlineStr">
        <is>
          <t>10115 Berlin</t>
        </is>
      </c>
    </row>
    <row r="10">
      <c r="B10" s="12" t="inlineStr">
        <is>
          <t>RECHNUNG</t>
        </is>
      </c>
    </row>
    <row r="12">
      <c r="B12" s="13" t="inlineStr">
        <is>
          <t>Rechnungsnummer</t>
        </is>
      </c>
      <c r="C12" s="8" t="inlineStr">
        <is>
          <t>2026-001</t>
        </is>
      </c>
    </row>
    <row r="13">
      <c r="B13" s="13" t="inlineStr">
        <is>
          <t>Rechnungsdatum</t>
        </is>
      </c>
      <c r="C13" s="14" t="inlineStr">
        <is>
          <t>2026-08-05</t>
        </is>
      </c>
    </row>
    <row r="14">
      <c r="B14" s="13" t="inlineStr">
        <is>
          <t>Leistungsdatum / -zeitraum</t>
        </is>
      </c>
      <c r="C14" s="8" t="inlineStr">
        <is>
          <t>Juli 2026</t>
        </is>
      </c>
    </row>
    <row r="15">
      <c r="B15" s="13" t="inlineStr">
        <is>
          <t>Kundennummer (optional)</t>
        </is>
      </c>
      <c r="C15" s="8" t="inlineStr">
        <is>
          <t>K-100</t>
        </is>
      </c>
    </row>
    <row r="18">
      <c r="B18" s="15" t="inlineStr">
        <is>
          <t>Beschreibung</t>
        </is>
      </c>
      <c r="C18" s="15" t="inlineStr">
        <is>
          <t>Menge</t>
        </is>
      </c>
      <c r="D18" s="15" t="inlineStr">
        <is>
          <t>Einheit</t>
        </is>
      </c>
      <c r="E18" s="15" t="inlineStr">
        <is>
          <t>Einzelpreis</t>
        </is>
      </c>
      <c r="F18" s="15" t="inlineStr">
        <is>
          <t>Gesamt</t>
        </is>
      </c>
    </row>
    <row r="19">
      <c r="B19" s="16" t="inlineStr">
        <is>
          <t>Beratungsleistung Projekt Muster</t>
        </is>
      </c>
      <c r="C19" s="16" t="n">
        <v>10</v>
      </c>
      <c r="D19" s="16" t="inlineStr">
        <is>
          <t>Std.</t>
        </is>
      </c>
      <c r="E19" s="17" t="n">
        <v>85</v>
      </c>
      <c r="F19" s="18">
        <f>IF(OR(C19="",E19=""),"",C19*E19)</f>
        <v/>
      </c>
    </row>
    <row r="20">
      <c r="B20" s="16" t="n"/>
      <c r="C20" s="16" t="n"/>
      <c r="D20" s="16" t="n"/>
      <c r="E20" s="17" t="n"/>
      <c r="F20" s="18">
        <f>IF(OR(C20="",E20=""),"",C20*E20)</f>
        <v/>
      </c>
    </row>
    <row r="21">
      <c r="B21" s="16" t="n"/>
      <c r="C21" s="16" t="n"/>
      <c r="D21" s="16" t="n"/>
      <c r="E21" s="17" t="n"/>
      <c r="F21" s="18">
        <f>IF(OR(C21="",E21=""),"",C21*E21)</f>
        <v/>
      </c>
    </row>
    <row r="22">
      <c r="B22" s="16" t="n"/>
      <c r="C22" s="16" t="n"/>
      <c r="D22" s="16" t="n"/>
      <c r="E22" s="17" t="n"/>
      <c r="F22" s="18">
        <f>IF(OR(C22="",E22=""),"",C22*E22)</f>
        <v/>
      </c>
    </row>
    <row r="23">
      <c r="B23" s="16" t="n"/>
      <c r="C23" s="16" t="n"/>
      <c r="D23" s="16" t="n"/>
      <c r="E23" s="17" t="n"/>
      <c r="F23" s="18">
        <f>IF(OR(C23="",E23=""),"",C23*E23)</f>
        <v/>
      </c>
    </row>
    <row r="24">
      <c r="B24" s="16" t="n"/>
      <c r="C24" s="16" t="n"/>
      <c r="D24" s="16" t="n"/>
      <c r="E24" s="17" t="n"/>
      <c r="F24" s="18">
        <f>IF(OR(C24="",E24=""),"",C24*E24)</f>
        <v/>
      </c>
    </row>
    <row r="25">
      <c r="B25" s="16" t="n"/>
      <c r="C25" s="16" t="n"/>
      <c r="D25" s="16" t="n"/>
      <c r="E25" s="17" t="n"/>
      <c r="F25" s="18">
        <f>IF(OR(C25="",E25=""),"",C25*E25)</f>
        <v/>
      </c>
    </row>
    <row r="26">
      <c r="B26" s="16" t="n"/>
      <c r="C26" s="16" t="n"/>
      <c r="D26" s="16" t="n"/>
      <c r="E26" s="17" t="n"/>
      <c r="F26" s="18">
        <f>IF(OR(C26="",E26=""),"",C26*E26)</f>
        <v/>
      </c>
    </row>
    <row r="27">
      <c r="B27" s="16" t="n"/>
      <c r="C27" s="16" t="n"/>
      <c r="D27" s="16" t="n"/>
      <c r="E27" s="17" t="n"/>
      <c r="F27" s="18">
        <f>IF(OR(C27="",E27=""),"",C27*E27)</f>
        <v/>
      </c>
    </row>
    <row r="28">
      <c r="B28" s="16" t="n"/>
      <c r="C28" s="16" t="n"/>
      <c r="D28" s="16" t="n"/>
      <c r="E28" s="17" t="n"/>
      <c r="F28" s="18">
        <f>IF(OR(C28="",E28=""),"",C28*E28)</f>
        <v/>
      </c>
    </row>
    <row r="29">
      <c r="B29" s="16" t="n"/>
      <c r="C29" s="16" t="n"/>
      <c r="D29" s="16" t="n"/>
      <c r="E29" s="17" t="n"/>
      <c r="F29" s="18">
        <f>IF(OR(C29="",E29=""),"",C29*E29)</f>
        <v/>
      </c>
    </row>
    <row r="30">
      <c r="B30" s="16" t="n"/>
      <c r="C30" s="16" t="n"/>
      <c r="D30" s="16" t="n"/>
      <c r="E30" s="17" t="n"/>
      <c r="F30" s="18">
        <f>IF(OR(C30="",E30=""),"",C30*E30)</f>
        <v/>
      </c>
    </row>
    <row r="31">
      <c r="B31" s="16" t="n"/>
      <c r="C31" s="16" t="n"/>
      <c r="D31" s="16" t="n"/>
      <c r="E31" s="17" t="n"/>
      <c r="F31" s="18">
        <f>IF(OR(C31="",E31=""),"",C31*E31)</f>
        <v/>
      </c>
    </row>
    <row r="32">
      <c r="B32" s="16" t="n"/>
      <c r="C32" s="16" t="n"/>
      <c r="D32" s="16" t="n"/>
      <c r="E32" s="17" t="n"/>
      <c r="F32" s="18">
        <f>IF(OR(C32="",E32=""),"",C32*E32)</f>
        <v/>
      </c>
    </row>
    <row r="33">
      <c r="B33" s="16" t="n"/>
      <c r="C33" s="16" t="n"/>
      <c r="D33" s="16" t="n"/>
      <c r="E33" s="17" t="n"/>
      <c r="F33" s="18">
        <f>IF(OR(C33="",E33=""),"",C33*E33)</f>
        <v/>
      </c>
    </row>
    <row r="35">
      <c r="E35" s="19" t="inlineStr">
        <is>
          <t>Nettobetrag</t>
        </is>
      </c>
      <c r="F35" s="20">
        <f>SUM(F19:F33)</f>
        <v/>
      </c>
    </row>
    <row r="36">
      <c r="E36" s="2">
        <f>IF('Meine Daten'!C12="JA","Umsatzsteuer","zzgl. "&amp;'Meine Daten'!C13&amp;" % USt.")</f>
        <v/>
      </c>
      <c r="F36" s="20">
        <f>IF('Meine Daten'!C12="JA",0,F35*'Meine Daten'!C13/100)</f>
        <v/>
      </c>
    </row>
    <row r="37">
      <c r="E37" s="21" t="inlineStr">
        <is>
          <t>Rechnungsbetrag</t>
        </is>
      </c>
      <c r="F37" s="22">
        <f>F35+F36</f>
        <v/>
      </c>
    </row>
    <row r="39">
      <c r="B39" s="23">
        <f>IF('Meine Daten'!C12="JA","Gemäß § 19 UStG wird keine Umsatzsteuer berechnet.","")</f>
        <v/>
      </c>
    </row>
    <row r="41">
      <c r="B41" s="24">
        <f>"Zahlbar innerhalb von "&amp;'Meine Daten'!C17&amp;" Tagen ohne Abzug auf folgendes Konto:"</f>
        <v/>
      </c>
    </row>
    <row r="42">
      <c r="B42" s="24">
        <f>'Meine Daten'!C14&amp;"  |  IBAN "&amp;'Meine Daten'!C15&amp;"  |  BIC "&amp;'Meine Daten'!C16</f>
        <v/>
      </c>
    </row>
    <row r="44">
      <c r="B44" s="24">
        <f>IF('Meine Daten'!C11&lt;&gt;"","USt-IdNr.: "&amp;'Meine Daten'!C11,"Steuernummer: "&amp;'Meine Daten'!C10)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6" customWidth="1" min="2" max="2"/>
    <col width="34" customWidth="1" min="3" max="3"/>
  </cols>
  <sheetData>
    <row r="2">
      <c r="B2" s="5" t="inlineStr">
        <is>
          <t>Prüfung der Pflichtangaben nach § 14 UStG</t>
        </is>
      </c>
    </row>
    <row r="3">
      <c r="B3" s="6" t="inlineStr">
        <is>
          <t>Diese Prüfung läuft automatisch. Steht überall „vollständig“, ist die Rechnung formal in Ordnung.</t>
        </is>
      </c>
    </row>
    <row r="5">
      <c r="B5" s="25" t="inlineStr">
        <is>
          <t>1. Name und Anschrift des Leistenden</t>
        </is>
      </c>
      <c r="C5" s="7">
        <f>IF(AND('Meine Daten'!C5&lt;&gt;"",'Meine Daten'!C7&lt;&gt;""),"vollständig","FEHLT")</f>
        <v/>
      </c>
    </row>
    <row r="6">
      <c r="B6" s="25" t="inlineStr">
        <is>
          <t>2. Name und Anschrift des Empfängers</t>
        </is>
      </c>
      <c r="C6" s="7">
        <f>IF(AND(Rechnung!B5&lt;&gt;"",Rechnung!B7&lt;&gt;""),"vollständig","FEHLT")</f>
        <v/>
      </c>
    </row>
    <row r="7">
      <c r="B7" s="25" t="inlineStr">
        <is>
          <t>3. Steuernummer oder USt-IdNr.</t>
        </is>
      </c>
      <c r="C7" s="7">
        <f>IF(OR('Meine Daten'!C10&lt;&gt;"",'Meine Daten'!C11&lt;&gt;""),"vollständig","FEHLT")</f>
        <v/>
      </c>
    </row>
    <row r="8">
      <c r="B8" s="25" t="inlineStr">
        <is>
          <t>4. Ausstellungsdatum</t>
        </is>
      </c>
      <c r="C8" s="7">
        <f>IF(Rechnung!C13&lt;&gt;"","vollständig","FEHLT")</f>
        <v/>
      </c>
    </row>
    <row r="9">
      <c r="B9" s="25" t="inlineStr">
        <is>
          <t>5. Fortlaufende Rechnungsnummer</t>
        </is>
      </c>
      <c r="C9" s="7">
        <f>IF(Rechnung!C12&lt;&gt;"","vollständig","FEHLT")</f>
        <v/>
      </c>
    </row>
    <row r="10">
      <c r="B10" s="25" t="inlineStr">
        <is>
          <t>6. Menge und Art der Leistung</t>
        </is>
      </c>
      <c r="C10" s="7">
        <f>IF(AND(Rechnung!B19&lt;&gt;"",Rechnung!C19&lt;&gt;""),"vollständig","FEHLT")</f>
        <v/>
      </c>
    </row>
    <row r="11">
      <c r="B11" s="25" t="inlineStr">
        <is>
          <t>7. Zeitpunkt der Leistung</t>
        </is>
      </c>
      <c r="C11" s="7">
        <f>IF(Rechnung!C14&lt;&gt;"","vollständig","FEHLT")</f>
        <v/>
      </c>
    </row>
    <row r="12">
      <c r="B12" s="25" t="inlineStr">
        <is>
          <t>8. Entgelt (Nettobetrag)</t>
        </is>
      </c>
      <c r="C12" s="7">
        <f>IF(Rechnung!F35&lt;&gt;"","vollständig","FEHLT")</f>
        <v/>
      </c>
    </row>
    <row r="13">
      <c r="B13" s="25" t="inlineStr">
        <is>
          <t>9. Steuersatz und Steuerbetrag / Befreiungshinweis</t>
        </is>
      </c>
      <c r="C13" s="7">
        <f>IF('Meine Daten'!C12="JA","vollständig (§ 19 Hinweis gesetzt)",IF('Meine Daten'!C13&gt;0,"vollständig","FEHLT: Steuersatz eintragen"))</f>
        <v/>
      </c>
    </row>
    <row r="15">
      <c r="B15" s="26" t="inlineStr">
        <is>
          <t>Gesamtergebnis</t>
        </is>
      </c>
      <c r="C15" s="27">
        <f>IF(COUNTIF(C5:C13,"FEHLT*")&gt;0,"NICHT VERSENDEN – es fehlen Angaben","Rechnung ist formal vollständig")</f>
        <v/>
      </c>
    </row>
    <row r="18">
      <c r="B18" s="28" t="inlineStr">
        <is>
          <t>Diese Prüfung deckt die Standardfälle ab. Bei Auslandsgeschäften,</t>
        </is>
      </c>
    </row>
    <row r="19">
      <c r="B19" s="28" t="inlineStr">
        <is>
          <t>Reverse Charge oder Differenzbesteuerung gelten zusätzliche Regeln.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0" customWidth="1" min="3" max="3"/>
    <col width="16" customWidth="1" min="4" max="4"/>
    <col width="14" customWidth="1" min="5" max="5"/>
    <col width="22" customWidth="1" min="6" max="6"/>
    <col width="14" customWidth="1" min="7" max="7"/>
  </cols>
  <sheetData>
    <row r="1">
      <c r="A1" s="5" t="inlineStr">
        <is>
          <t>Rechnungsbuch</t>
        </is>
      </c>
    </row>
    <row r="2">
      <c r="A2" s="6" t="inlineStr">
        <is>
          <t>Jede geschriebene Rechnung hier eintragen — so bleiben die Nummern lückenlos.</t>
        </is>
      </c>
    </row>
    <row r="4">
      <c r="A4" s="15" t="inlineStr">
        <is>
          <t>Rechnungsnr.</t>
        </is>
      </c>
      <c r="B4" s="15" t="inlineStr">
        <is>
          <t>Datum</t>
        </is>
      </c>
      <c r="C4" s="15" t="inlineStr">
        <is>
          <t>Kunde</t>
        </is>
      </c>
      <c r="D4" s="15" t="inlineStr">
        <is>
          <t>Betrag (€)</t>
        </is>
      </c>
      <c r="E4" s="15" t="inlineStr">
        <is>
          <t>Bezahlt am</t>
        </is>
      </c>
      <c r="F4" s="15" t="inlineStr">
        <is>
          <t>Status</t>
        </is>
      </c>
      <c r="G4" s="15" t="inlineStr">
        <is>
          <t>Doppelt?</t>
        </is>
      </c>
    </row>
    <row r="5">
      <c r="A5" s="16" t="inlineStr">
        <is>
          <t>2026-001</t>
        </is>
      </c>
      <c r="B5" s="29" t="inlineStr">
        <is>
          <t>2026-08-05</t>
        </is>
      </c>
      <c r="C5" s="16" t="inlineStr">
        <is>
          <t>Kunde GmbH</t>
        </is>
      </c>
      <c r="D5" s="17" t="n">
        <v>1011.5</v>
      </c>
      <c r="E5" s="29" t="n"/>
      <c r="F5" s="30">
        <f>IF(A5="","",IF(E5&lt;&gt;"","bezahlt",IF(TODAY()-B5&gt;'Meine Daten'!$C$17,"ÜBERFÄLLIG","offen")))</f>
        <v/>
      </c>
      <c r="G5" s="30">
        <f>IF(A5="","",IF(COUNTIF($A$5:$A$204,A5)&gt;1,"DOPPELT!",""))</f>
        <v/>
      </c>
    </row>
    <row r="6">
      <c r="A6" s="16" t="n"/>
      <c r="B6" s="29" t="n"/>
      <c r="C6" s="16" t="n"/>
      <c r="D6" s="17" t="n"/>
      <c r="E6" s="29" t="n"/>
      <c r="F6" s="30">
        <f>IF(A6="","",IF(E6&lt;&gt;"","bezahlt",IF(TODAY()-B6&gt;'Meine Daten'!$C$17,"ÜBERFÄLLIG","offen")))</f>
        <v/>
      </c>
      <c r="G6" s="30">
        <f>IF(A6="","",IF(COUNTIF($A$5:$A$204,A6)&gt;1,"DOPPELT!",""))</f>
        <v/>
      </c>
    </row>
    <row r="7">
      <c r="A7" s="16" t="n"/>
      <c r="B7" s="29" t="n"/>
      <c r="C7" s="16" t="n"/>
      <c r="D7" s="17" t="n"/>
      <c r="E7" s="29" t="n"/>
      <c r="F7" s="30">
        <f>IF(A7="","",IF(E7&lt;&gt;"","bezahlt",IF(TODAY()-B7&gt;'Meine Daten'!$C$17,"ÜBERFÄLLIG","offen")))</f>
        <v/>
      </c>
      <c r="G7" s="30">
        <f>IF(A7="","",IF(COUNTIF($A$5:$A$204,A7)&gt;1,"DOPPELT!",""))</f>
        <v/>
      </c>
    </row>
    <row r="8">
      <c r="A8" s="16" t="n"/>
      <c r="B8" s="29" t="n"/>
      <c r="C8" s="16" t="n"/>
      <c r="D8" s="17" t="n"/>
      <c r="E8" s="29" t="n"/>
      <c r="F8" s="30">
        <f>IF(A8="","",IF(E8&lt;&gt;"","bezahlt",IF(TODAY()-B8&gt;'Meine Daten'!$C$17,"ÜBERFÄLLIG","offen")))</f>
        <v/>
      </c>
      <c r="G8" s="30">
        <f>IF(A8="","",IF(COUNTIF($A$5:$A$204,A8)&gt;1,"DOPPELT!",""))</f>
        <v/>
      </c>
    </row>
    <row r="9">
      <c r="A9" s="16" t="n"/>
      <c r="B9" s="29" t="n"/>
      <c r="C9" s="16" t="n"/>
      <c r="D9" s="17" t="n"/>
      <c r="E9" s="29" t="n"/>
      <c r="F9" s="30">
        <f>IF(A9="","",IF(E9&lt;&gt;"","bezahlt",IF(TODAY()-B9&gt;'Meine Daten'!$C$17,"ÜBERFÄLLIG","offen")))</f>
        <v/>
      </c>
      <c r="G9" s="30">
        <f>IF(A9="","",IF(COUNTIF($A$5:$A$204,A9)&gt;1,"DOPPELT!",""))</f>
        <v/>
      </c>
    </row>
    <row r="10">
      <c r="A10" s="16" t="n"/>
      <c r="B10" s="29" t="n"/>
      <c r="C10" s="16" t="n"/>
      <c r="D10" s="17" t="n"/>
      <c r="E10" s="29" t="n"/>
      <c r="F10" s="30">
        <f>IF(A10="","",IF(E10&lt;&gt;"","bezahlt",IF(TODAY()-B10&gt;'Meine Daten'!$C$17,"ÜBERFÄLLIG","offen")))</f>
        <v/>
      </c>
      <c r="G10" s="30">
        <f>IF(A10="","",IF(COUNTIF($A$5:$A$204,A10)&gt;1,"DOPPELT!",""))</f>
        <v/>
      </c>
    </row>
    <row r="11">
      <c r="A11" s="16" t="n"/>
      <c r="B11" s="29" t="n"/>
      <c r="C11" s="16" t="n"/>
      <c r="D11" s="17" t="n"/>
      <c r="E11" s="29" t="n"/>
      <c r="F11" s="30">
        <f>IF(A11="","",IF(E11&lt;&gt;"","bezahlt",IF(TODAY()-B11&gt;'Meine Daten'!$C$17,"ÜBERFÄLLIG","offen")))</f>
        <v/>
      </c>
      <c r="G11" s="30">
        <f>IF(A11="","",IF(COUNTIF($A$5:$A$204,A11)&gt;1,"DOPPELT!",""))</f>
        <v/>
      </c>
    </row>
    <row r="12">
      <c r="A12" s="16" t="n"/>
      <c r="B12" s="29" t="n"/>
      <c r="C12" s="16" t="n"/>
      <c r="D12" s="17" t="n"/>
      <c r="E12" s="29" t="n"/>
      <c r="F12" s="30">
        <f>IF(A12="","",IF(E12&lt;&gt;"","bezahlt",IF(TODAY()-B12&gt;'Meine Daten'!$C$17,"ÜBERFÄLLIG","offen")))</f>
        <v/>
      </c>
      <c r="G12" s="30">
        <f>IF(A12="","",IF(COUNTIF($A$5:$A$204,A12)&gt;1,"DOPPELT!",""))</f>
        <v/>
      </c>
    </row>
    <row r="13">
      <c r="A13" s="16" t="n"/>
      <c r="B13" s="29" t="n"/>
      <c r="C13" s="16" t="n"/>
      <c r="D13" s="17" t="n"/>
      <c r="E13" s="29" t="n"/>
      <c r="F13" s="30">
        <f>IF(A13="","",IF(E13&lt;&gt;"","bezahlt",IF(TODAY()-B13&gt;'Meine Daten'!$C$17,"ÜBERFÄLLIG","offen")))</f>
        <v/>
      </c>
      <c r="G13" s="30">
        <f>IF(A13="","",IF(COUNTIF($A$5:$A$204,A13)&gt;1,"DOPPELT!",""))</f>
        <v/>
      </c>
    </row>
    <row r="14">
      <c r="A14" s="16" t="n"/>
      <c r="B14" s="29" t="n"/>
      <c r="C14" s="16" t="n"/>
      <c r="D14" s="17" t="n"/>
      <c r="E14" s="29" t="n"/>
      <c r="F14" s="30">
        <f>IF(A14="","",IF(E14&lt;&gt;"","bezahlt",IF(TODAY()-B14&gt;'Meine Daten'!$C$17,"ÜBERFÄLLIG","offen")))</f>
        <v/>
      </c>
      <c r="G14" s="30">
        <f>IF(A14="","",IF(COUNTIF($A$5:$A$204,A14)&gt;1,"DOPPELT!",""))</f>
        <v/>
      </c>
    </row>
    <row r="15">
      <c r="A15" s="16" t="n"/>
      <c r="B15" s="29" t="n"/>
      <c r="C15" s="16" t="n"/>
      <c r="D15" s="17" t="n"/>
      <c r="E15" s="29" t="n"/>
      <c r="F15" s="30">
        <f>IF(A15="","",IF(E15&lt;&gt;"","bezahlt",IF(TODAY()-B15&gt;'Meine Daten'!$C$17,"ÜBERFÄLLIG","offen")))</f>
        <v/>
      </c>
      <c r="G15" s="30">
        <f>IF(A15="","",IF(COUNTIF($A$5:$A$204,A15)&gt;1,"DOPPELT!",""))</f>
        <v/>
      </c>
    </row>
    <row r="16">
      <c r="A16" s="16" t="n"/>
      <c r="B16" s="29" t="n"/>
      <c r="C16" s="16" t="n"/>
      <c r="D16" s="17" t="n"/>
      <c r="E16" s="29" t="n"/>
      <c r="F16" s="30">
        <f>IF(A16="","",IF(E16&lt;&gt;"","bezahlt",IF(TODAY()-B16&gt;'Meine Daten'!$C$17,"ÜBERFÄLLIG","offen")))</f>
        <v/>
      </c>
      <c r="G16" s="30">
        <f>IF(A16="","",IF(COUNTIF($A$5:$A$204,A16)&gt;1,"DOPPELT!",""))</f>
        <v/>
      </c>
    </row>
    <row r="17">
      <c r="A17" s="16" t="n"/>
      <c r="B17" s="29" t="n"/>
      <c r="C17" s="16" t="n"/>
      <c r="D17" s="17" t="n"/>
      <c r="E17" s="29" t="n"/>
      <c r="F17" s="30">
        <f>IF(A17="","",IF(E17&lt;&gt;"","bezahlt",IF(TODAY()-B17&gt;'Meine Daten'!$C$17,"ÜBERFÄLLIG","offen")))</f>
        <v/>
      </c>
      <c r="G17" s="30">
        <f>IF(A17="","",IF(COUNTIF($A$5:$A$204,A17)&gt;1,"DOPPELT!",""))</f>
        <v/>
      </c>
    </row>
    <row r="18">
      <c r="A18" s="16" t="n"/>
      <c r="B18" s="29" t="n"/>
      <c r="C18" s="16" t="n"/>
      <c r="D18" s="17" t="n"/>
      <c r="E18" s="29" t="n"/>
      <c r="F18" s="30">
        <f>IF(A18="","",IF(E18&lt;&gt;"","bezahlt",IF(TODAY()-B18&gt;'Meine Daten'!$C$17,"ÜBERFÄLLIG","offen")))</f>
        <v/>
      </c>
      <c r="G18" s="30">
        <f>IF(A18="","",IF(COUNTIF($A$5:$A$204,A18)&gt;1,"DOPPELT!",""))</f>
        <v/>
      </c>
    </row>
    <row r="19">
      <c r="A19" s="16" t="n"/>
      <c r="B19" s="29" t="n"/>
      <c r="C19" s="16" t="n"/>
      <c r="D19" s="17" t="n"/>
      <c r="E19" s="29" t="n"/>
      <c r="F19" s="30">
        <f>IF(A19="","",IF(E19&lt;&gt;"","bezahlt",IF(TODAY()-B19&gt;'Meine Daten'!$C$17,"ÜBERFÄLLIG","offen")))</f>
        <v/>
      </c>
      <c r="G19" s="30">
        <f>IF(A19="","",IF(COUNTIF($A$5:$A$204,A19)&gt;1,"DOPPELT!",""))</f>
        <v/>
      </c>
    </row>
    <row r="20">
      <c r="A20" s="16" t="n"/>
      <c r="B20" s="29" t="n"/>
      <c r="C20" s="16" t="n"/>
      <c r="D20" s="17" t="n"/>
      <c r="E20" s="29" t="n"/>
      <c r="F20" s="30">
        <f>IF(A20="","",IF(E20&lt;&gt;"","bezahlt",IF(TODAY()-B20&gt;'Meine Daten'!$C$17,"ÜBERFÄLLIG","offen")))</f>
        <v/>
      </c>
      <c r="G20" s="30">
        <f>IF(A20="","",IF(COUNTIF($A$5:$A$204,A20)&gt;1,"DOPPELT!",""))</f>
        <v/>
      </c>
    </row>
    <row r="21">
      <c r="A21" s="16" t="n"/>
      <c r="B21" s="29" t="n"/>
      <c r="C21" s="16" t="n"/>
      <c r="D21" s="17" t="n"/>
      <c r="E21" s="29" t="n"/>
      <c r="F21" s="30">
        <f>IF(A21="","",IF(E21&lt;&gt;"","bezahlt",IF(TODAY()-B21&gt;'Meine Daten'!$C$17,"ÜBERFÄLLIG","offen")))</f>
        <v/>
      </c>
      <c r="G21" s="30">
        <f>IF(A21="","",IF(COUNTIF($A$5:$A$204,A21)&gt;1,"DOPPELT!",""))</f>
        <v/>
      </c>
    </row>
    <row r="22">
      <c r="A22" s="16" t="n"/>
      <c r="B22" s="29" t="n"/>
      <c r="C22" s="16" t="n"/>
      <c r="D22" s="17" t="n"/>
      <c r="E22" s="29" t="n"/>
      <c r="F22" s="30">
        <f>IF(A22="","",IF(E22&lt;&gt;"","bezahlt",IF(TODAY()-B22&gt;'Meine Daten'!$C$17,"ÜBERFÄLLIG","offen")))</f>
        <v/>
      </c>
      <c r="G22" s="30">
        <f>IF(A22="","",IF(COUNTIF($A$5:$A$204,A22)&gt;1,"DOPPELT!",""))</f>
        <v/>
      </c>
    </row>
    <row r="23">
      <c r="A23" s="16" t="n"/>
      <c r="B23" s="29" t="n"/>
      <c r="C23" s="16" t="n"/>
      <c r="D23" s="17" t="n"/>
      <c r="E23" s="29" t="n"/>
      <c r="F23" s="30">
        <f>IF(A23="","",IF(E23&lt;&gt;"","bezahlt",IF(TODAY()-B23&gt;'Meine Daten'!$C$17,"ÜBERFÄLLIG","offen")))</f>
        <v/>
      </c>
      <c r="G23" s="30">
        <f>IF(A23="","",IF(COUNTIF($A$5:$A$204,A23)&gt;1,"DOPPELT!",""))</f>
        <v/>
      </c>
    </row>
    <row r="24">
      <c r="A24" s="16" t="n"/>
      <c r="B24" s="29" t="n"/>
      <c r="C24" s="16" t="n"/>
      <c r="D24" s="17" t="n"/>
      <c r="E24" s="29" t="n"/>
      <c r="F24" s="30">
        <f>IF(A24="","",IF(E24&lt;&gt;"","bezahlt",IF(TODAY()-B24&gt;'Meine Daten'!$C$17,"ÜBERFÄLLIG","offen")))</f>
        <v/>
      </c>
      <c r="G24" s="30">
        <f>IF(A24="","",IF(COUNTIF($A$5:$A$204,A24)&gt;1,"DOPPELT!",""))</f>
        <v/>
      </c>
    </row>
    <row r="25">
      <c r="A25" s="16" t="n"/>
      <c r="B25" s="29" t="n"/>
      <c r="C25" s="16" t="n"/>
      <c r="D25" s="17" t="n"/>
      <c r="E25" s="29" t="n"/>
      <c r="F25" s="30">
        <f>IF(A25="","",IF(E25&lt;&gt;"","bezahlt",IF(TODAY()-B25&gt;'Meine Daten'!$C$17,"ÜBERFÄLLIG","offen")))</f>
        <v/>
      </c>
      <c r="G25" s="30">
        <f>IF(A25="","",IF(COUNTIF($A$5:$A$204,A25)&gt;1,"DOPPELT!",""))</f>
        <v/>
      </c>
    </row>
    <row r="26">
      <c r="A26" s="16" t="n"/>
      <c r="B26" s="29" t="n"/>
      <c r="C26" s="16" t="n"/>
      <c r="D26" s="17" t="n"/>
      <c r="E26" s="29" t="n"/>
      <c r="F26" s="30">
        <f>IF(A26="","",IF(E26&lt;&gt;"","bezahlt",IF(TODAY()-B26&gt;'Meine Daten'!$C$17,"ÜBERFÄLLIG","offen")))</f>
        <v/>
      </c>
      <c r="G26" s="30">
        <f>IF(A26="","",IF(COUNTIF($A$5:$A$204,A26)&gt;1,"DOPPELT!",""))</f>
        <v/>
      </c>
    </row>
    <row r="27">
      <c r="A27" s="16" t="n"/>
      <c r="B27" s="29" t="n"/>
      <c r="C27" s="16" t="n"/>
      <c r="D27" s="17" t="n"/>
      <c r="E27" s="29" t="n"/>
      <c r="F27" s="30">
        <f>IF(A27="","",IF(E27&lt;&gt;"","bezahlt",IF(TODAY()-B27&gt;'Meine Daten'!$C$17,"ÜBERFÄLLIG","offen")))</f>
        <v/>
      </c>
      <c r="G27" s="30">
        <f>IF(A27="","",IF(COUNTIF($A$5:$A$204,A27)&gt;1,"DOPPELT!",""))</f>
        <v/>
      </c>
    </row>
    <row r="28">
      <c r="A28" s="16" t="n"/>
      <c r="B28" s="29" t="n"/>
      <c r="C28" s="16" t="n"/>
      <c r="D28" s="17" t="n"/>
      <c r="E28" s="29" t="n"/>
      <c r="F28" s="30">
        <f>IF(A28="","",IF(E28&lt;&gt;"","bezahlt",IF(TODAY()-B28&gt;'Meine Daten'!$C$17,"ÜBERFÄLLIG","offen")))</f>
        <v/>
      </c>
      <c r="G28" s="30">
        <f>IF(A28="","",IF(COUNTIF($A$5:$A$204,A28)&gt;1,"DOPPELT!",""))</f>
        <v/>
      </c>
    </row>
    <row r="29">
      <c r="A29" s="16" t="n"/>
      <c r="B29" s="29" t="n"/>
      <c r="C29" s="16" t="n"/>
      <c r="D29" s="17" t="n"/>
      <c r="E29" s="29" t="n"/>
      <c r="F29" s="30">
        <f>IF(A29="","",IF(E29&lt;&gt;"","bezahlt",IF(TODAY()-B29&gt;'Meine Daten'!$C$17,"ÜBERFÄLLIG","offen")))</f>
        <v/>
      </c>
      <c r="G29" s="30">
        <f>IF(A29="","",IF(COUNTIF($A$5:$A$204,A29)&gt;1,"DOPPELT!",""))</f>
        <v/>
      </c>
    </row>
    <row r="30">
      <c r="A30" s="16" t="n"/>
      <c r="B30" s="29" t="n"/>
      <c r="C30" s="16" t="n"/>
      <c r="D30" s="17" t="n"/>
      <c r="E30" s="29" t="n"/>
      <c r="F30" s="30">
        <f>IF(A30="","",IF(E30&lt;&gt;"","bezahlt",IF(TODAY()-B30&gt;'Meine Daten'!$C$17,"ÜBERFÄLLIG","offen")))</f>
        <v/>
      </c>
      <c r="G30" s="30">
        <f>IF(A30="","",IF(COUNTIF($A$5:$A$204,A30)&gt;1,"DOPPELT!",""))</f>
        <v/>
      </c>
    </row>
    <row r="31">
      <c r="A31" s="16" t="n"/>
      <c r="B31" s="29" t="n"/>
      <c r="C31" s="16" t="n"/>
      <c r="D31" s="17" t="n"/>
      <c r="E31" s="29" t="n"/>
      <c r="F31" s="30">
        <f>IF(A31="","",IF(E31&lt;&gt;"","bezahlt",IF(TODAY()-B31&gt;'Meine Daten'!$C$17,"ÜBERFÄLLIG","offen")))</f>
        <v/>
      </c>
      <c r="G31" s="30">
        <f>IF(A31="","",IF(COUNTIF($A$5:$A$204,A31)&gt;1,"DOPPELT!",""))</f>
        <v/>
      </c>
    </row>
    <row r="32">
      <c r="A32" s="16" t="n"/>
      <c r="B32" s="29" t="n"/>
      <c r="C32" s="16" t="n"/>
      <c r="D32" s="17" t="n"/>
      <c r="E32" s="29" t="n"/>
      <c r="F32" s="30">
        <f>IF(A32="","",IF(E32&lt;&gt;"","bezahlt",IF(TODAY()-B32&gt;'Meine Daten'!$C$17,"ÜBERFÄLLIG","offen")))</f>
        <v/>
      </c>
      <c r="G32" s="30">
        <f>IF(A32="","",IF(COUNTIF($A$5:$A$204,A32)&gt;1,"DOPPELT!",""))</f>
        <v/>
      </c>
    </row>
    <row r="33">
      <c r="A33" s="16" t="n"/>
      <c r="B33" s="29" t="n"/>
      <c r="C33" s="16" t="n"/>
      <c r="D33" s="17" t="n"/>
      <c r="E33" s="29" t="n"/>
      <c r="F33" s="30">
        <f>IF(A33="","",IF(E33&lt;&gt;"","bezahlt",IF(TODAY()-B33&gt;'Meine Daten'!$C$17,"ÜBERFÄLLIG","offen")))</f>
        <v/>
      </c>
      <c r="G33" s="30">
        <f>IF(A33="","",IF(COUNTIF($A$5:$A$204,A33)&gt;1,"DOPPELT!",""))</f>
        <v/>
      </c>
    </row>
    <row r="34">
      <c r="A34" s="16" t="n"/>
      <c r="B34" s="29" t="n"/>
      <c r="C34" s="16" t="n"/>
      <c r="D34" s="17" t="n"/>
      <c r="E34" s="29" t="n"/>
      <c r="F34" s="30">
        <f>IF(A34="","",IF(E34&lt;&gt;"","bezahlt",IF(TODAY()-B34&gt;'Meine Daten'!$C$17,"ÜBERFÄLLIG","offen")))</f>
        <v/>
      </c>
      <c r="G34" s="30">
        <f>IF(A34="","",IF(COUNTIF($A$5:$A$204,A34)&gt;1,"DOPPELT!",""))</f>
        <v/>
      </c>
    </row>
    <row r="35">
      <c r="A35" s="16" t="n"/>
      <c r="B35" s="29" t="n"/>
      <c r="C35" s="16" t="n"/>
      <c r="D35" s="17" t="n"/>
      <c r="E35" s="29" t="n"/>
      <c r="F35" s="30">
        <f>IF(A35="","",IF(E35&lt;&gt;"","bezahlt",IF(TODAY()-B35&gt;'Meine Daten'!$C$17,"ÜBERFÄLLIG","offen")))</f>
        <v/>
      </c>
      <c r="G35" s="30">
        <f>IF(A35="","",IF(COUNTIF($A$5:$A$204,A35)&gt;1,"DOPPELT!",""))</f>
        <v/>
      </c>
    </row>
    <row r="36">
      <c r="A36" s="16" t="n"/>
      <c r="B36" s="29" t="n"/>
      <c r="C36" s="16" t="n"/>
      <c r="D36" s="17" t="n"/>
      <c r="E36" s="29" t="n"/>
      <c r="F36" s="30">
        <f>IF(A36="","",IF(E36&lt;&gt;"","bezahlt",IF(TODAY()-B36&gt;'Meine Daten'!$C$17,"ÜBERFÄLLIG","offen")))</f>
        <v/>
      </c>
      <c r="G36" s="30">
        <f>IF(A36="","",IF(COUNTIF($A$5:$A$204,A36)&gt;1,"DOPPELT!",""))</f>
        <v/>
      </c>
    </row>
    <row r="37">
      <c r="A37" s="16" t="n"/>
      <c r="B37" s="29" t="n"/>
      <c r="C37" s="16" t="n"/>
      <c r="D37" s="17" t="n"/>
      <c r="E37" s="29" t="n"/>
      <c r="F37" s="30">
        <f>IF(A37="","",IF(E37&lt;&gt;"","bezahlt",IF(TODAY()-B37&gt;'Meine Daten'!$C$17,"ÜBERFÄLLIG","offen")))</f>
        <v/>
      </c>
      <c r="G37" s="30">
        <f>IF(A37="","",IF(COUNTIF($A$5:$A$204,A37)&gt;1,"DOPPELT!",""))</f>
        <v/>
      </c>
    </row>
    <row r="38">
      <c r="A38" s="16" t="n"/>
      <c r="B38" s="29" t="n"/>
      <c r="C38" s="16" t="n"/>
      <c r="D38" s="17" t="n"/>
      <c r="E38" s="29" t="n"/>
      <c r="F38" s="30">
        <f>IF(A38="","",IF(E38&lt;&gt;"","bezahlt",IF(TODAY()-B38&gt;'Meine Daten'!$C$17,"ÜBERFÄLLIG","offen")))</f>
        <v/>
      </c>
      <c r="G38" s="30">
        <f>IF(A38="","",IF(COUNTIF($A$5:$A$204,A38)&gt;1,"DOPPELT!",""))</f>
        <v/>
      </c>
    </row>
    <row r="39">
      <c r="A39" s="16" t="n"/>
      <c r="B39" s="29" t="n"/>
      <c r="C39" s="16" t="n"/>
      <c r="D39" s="17" t="n"/>
      <c r="E39" s="29" t="n"/>
      <c r="F39" s="30">
        <f>IF(A39="","",IF(E39&lt;&gt;"","bezahlt",IF(TODAY()-B39&gt;'Meine Daten'!$C$17,"ÜBERFÄLLIG","offen")))</f>
        <v/>
      </c>
      <c r="G39" s="30">
        <f>IF(A39="","",IF(COUNTIF($A$5:$A$204,A39)&gt;1,"DOPPELT!",""))</f>
        <v/>
      </c>
    </row>
    <row r="40">
      <c r="A40" s="16" t="n"/>
      <c r="B40" s="29" t="n"/>
      <c r="C40" s="16" t="n"/>
      <c r="D40" s="17" t="n"/>
      <c r="E40" s="29" t="n"/>
      <c r="F40" s="30">
        <f>IF(A40="","",IF(E40&lt;&gt;"","bezahlt",IF(TODAY()-B40&gt;'Meine Daten'!$C$17,"ÜBERFÄLLIG","offen")))</f>
        <v/>
      </c>
      <c r="G40" s="30">
        <f>IF(A40="","",IF(COUNTIF($A$5:$A$204,A40)&gt;1,"DOPPELT!",""))</f>
        <v/>
      </c>
    </row>
    <row r="41">
      <c r="A41" s="16" t="n"/>
      <c r="B41" s="29" t="n"/>
      <c r="C41" s="16" t="n"/>
      <c r="D41" s="17" t="n"/>
      <c r="E41" s="29" t="n"/>
      <c r="F41" s="30">
        <f>IF(A41="","",IF(E41&lt;&gt;"","bezahlt",IF(TODAY()-B41&gt;'Meine Daten'!$C$17,"ÜBERFÄLLIG","offen")))</f>
        <v/>
      </c>
      <c r="G41" s="30">
        <f>IF(A41="","",IF(COUNTIF($A$5:$A$204,A41)&gt;1,"DOPPELT!",""))</f>
        <v/>
      </c>
    </row>
    <row r="42">
      <c r="A42" s="16" t="n"/>
      <c r="B42" s="29" t="n"/>
      <c r="C42" s="16" t="n"/>
      <c r="D42" s="17" t="n"/>
      <c r="E42" s="29" t="n"/>
      <c r="F42" s="30">
        <f>IF(A42="","",IF(E42&lt;&gt;"","bezahlt",IF(TODAY()-B42&gt;'Meine Daten'!$C$17,"ÜBERFÄLLIG","offen")))</f>
        <v/>
      </c>
      <c r="G42" s="30">
        <f>IF(A42="","",IF(COUNTIF($A$5:$A$204,A42)&gt;1,"DOPPELT!",""))</f>
        <v/>
      </c>
    </row>
    <row r="43">
      <c r="A43" s="16" t="n"/>
      <c r="B43" s="29" t="n"/>
      <c r="C43" s="16" t="n"/>
      <c r="D43" s="17" t="n"/>
      <c r="E43" s="29" t="n"/>
      <c r="F43" s="30">
        <f>IF(A43="","",IF(E43&lt;&gt;"","bezahlt",IF(TODAY()-B43&gt;'Meine Daten'!$C$17,"ÜBERFÄLLIG","offen")))</f>
        <v/>
      </c>
      <c r="G43" s="30">
        <f>IF(A43="","",IF(COUNTIF($A$5:$A$204,A43)&gt;1,"DOPPELT!",""))</f>
        <v/>
      </c>
    </row>
    <row r="44">
      <c r="A44" s="16" t="n"/>
      <c r="B44" s="29" t="n"/>
      <c r="C44" s="16" t="n"/>
      <c r="D44" s="17" t="n"/>
      <c r="E44" s="29" t="n"/>
      <c r="F44" s="30">
        <f>IF(A44="","",IF(E44&lt;&gt;"","bezahlt",IF(TODAY()-B44&gt;'Meine Daten'!$C$17,"ÜBERFÄLLIG","offen")))</f>
        <v/>
      </c>
      <c r="G44" s="30">
        <f>IF(A44="","",IF(COUNTIF($A$5:$A$204,A44)&gt;1,"DOPPELT!",""))</f>
        <v/>
      </c>
    </row>
    <row r="45">
      <c r="A45" s="16" t="n"/>
      <c r="B45" s="29" t="n"/>
      <c r="C45" s="16" t="n"/>
      <c r="D45" s="17" t="n"/>
      <c r="E45" s="29" t="n"/>
      <c r="F45" s="30">
        <f>IF(A45="","",IF(E45&lt;&gt;"","bezahlt",IF(TODAY()-B45&gt;'Meine Daten'!$C$17,"ÜBERFÄLLIG","offen")))</f>
        <v/>
      </c>
      <c r="G45" s="30">
        <f>IF(A45="","",IF(COUNTIF($A$5:$A$204,A45)&gt;1,"DOPPELT!",""))</f>
        <v/>
      </c>
    </row>
    <row r="46">
      <c r="A46" s="16" t="n"/>
      <c r="B46" s="29" t="n"/>
      <c r="C46" s="16" t="n"/>
      <c r="D46" s="17" t="n"/>
      <c r="E46" s="29" t="n"/>
      <c r="F46" s="30">
        <f>IF(A46="","",IF(E46&lt;&gt;"","bezahlt",IF(TODAY()-B46&gt;'Meine Daten'!$C$17,"ÜBERFÄLLIG","offen")))</f>
        <v/>
      </c>
      <c r="G46" s="30">
        <f>IF(A46="","",IF(COUNTIF($A$5:$A$204,A46)&gt;1,"DOPPELT!",""))</f>
        <v/>
      </c>
    </row>
    <row r="47">
      <c r="A47" s="16" t="n"/>
      <c r="B47" s="29" t="n"/>
      <c r="C47" s="16" t="n"/>
      <c r="D47" s="17" t="n"/>
      <c r="E47" s="29" t="n"/>
      <c r="F47" s="30">
        <f>IF(A47="","",IF(E47&lt;&gt;"","bezahlt",IF(TODAY()-B47&gt;'Meine Daten'!$C$17,"ÜBERFÄLLIG","offen")))</f>
        <v/>
      </c>
      <c r="G47" s="30">
        <f>IF(A47="","",IF(COUNTIF($A$5:$A$204,A47)&gt;1,"DOPPELT!",""))</f>
        <v/>
      </c>
    </row>
    <row r="48">
      <c r="A48" s="16" t="n"/>
      <c r="B48" s="29" t="n"/>
      <c r="C48" s="16" t="n"/>
      <c r="D48" s="17" t="n"/>
      <c r="E48" s="29" t="n"/>
      <c r="F48" s="30">
        <f>IF(A48="","",IF(E48&lt;&gt;"","bezahlt",IF(TODAY()-B48&gt;'Meine Daten'!$C$17,"ÜBERFÄLLIG","offen")))</f>
        <v/>
      </c>
      <c r="G48" s="30">
        <f>IF(A48="","",IF(COUNTIF($A$5:$A$204,A48)&gt;1,"DOPPELT!",""))</f>
        <v/>
      </c>
    </row>
    <row r="49">
      <c r="A49" s="16" t="n"/>
      <c r="B49" s="29" t="n"/>
      <c r="C49" s="16" t="n"/>
      <c r="D49" s="17" t="n"/>
      <c r="E49" s="29" t="n"/>
      <c r="F49" s="30">
        <f>IF(A49="","",IF(E49&lt;&gt;"","bezahlt",IF(TODAY()-B49&gt;'Meine Daten'!$C$17,"ÜBERFÄLLIG","offen")))</f>
        <v/>
      </c>
      <c r="G49" s="30">
        <f>IF(A49="","",IF(COUNTIF($A$5:$A$204,A49)&gt;1,"DOPPELT!",""))</f>
        <v/>
      </c>
    </row>
    <row r="50">
      <c r="A50" s="16" t="n"/>
      <c r="B50" s="29" t="n"/>
      <c r="C50" s="16" t="n"/>
      <c r="D50" s="17" t="n"/>
      <c r="E50" s="29" t="n"/>
      <c r="F50" s="30">
        <f>IF(A50="","",IF(E50&lt;&gt;"","bezahlt",IF(TODAY()-B50&gt;'Meine Daten'!$C$17,"ÜBERFÄLLIG","offen")))</f>
        <v/>
      </c>
      <c r="G50" s="30">
        <f>IF(A50="","",IF(COUNTIF($A$5:$A$204,A50)&gt;1,"DOPPELT!",""))</f>
        <v/>
      </c>
    </row>
    <row r="51">
      <c r="A51" s="16" t="n"/>
      <c r="B51" s="29" t="n"/>
      <c r="C51" s="16" t="n"/>
      <c r="D51" s="17" t="n"/>
      <c r="E51" s="29" t="n"/>
      <c r="F51" s="30">
        <f>IF(A51="","",IF(E51&lt;&gt;"","bezahlt",IF(TODAY()-B51&gt;'Meine Daten'!$C$17,"ÜBERFÄLLIG","offen")))</f>
        <v/>
      </c>
      <c r="G51" s="30">
        <f>IF(A51="","",IF(COUNTIF($A$5:$A$204,A51)&gt;1,"DOPPELT!",""))</f>
        <v/>
      </c>
    </row>
    <row r="52">
      <c r="A52" s="16" t="n"/>
      <c r="B52" s="29" t="n"/>
      <c r="C52" s="16" t="n"/>
      <c r="D52" s="17" t="n"/>
      <c r="E52" s="29" t="n"/>
      <c r="F52" s="30">
        <f>IF(A52="","",IF(E52&lt;&gt;"","bezahlt",IF(TODAY()-B52&gt;'Meine Daten'!$C$17,"ÜBERFÄLLIG","offen")))</f>
        <v/>
      </c>
      <c r="G52" s="30">
        <f>IF(A52="","",IF(COUNTIF($A$5:$A$204,A52)&gt;1,"DOPPELT!",""))</f>
        <v/>
      </c>
    </row>
    <row r="53">
      <c r="A53" s="16" t="n"/>
      <c r="B53" s="29" t="n"/>
      <c r="C53" s="16" t="n"/>
      <c r="D53" s="17" t="n"/>
      <c r="E53" s="29" t="n"/>
      <c r="F53" s="30">
        <f>IF(A53="","",IF(E53&lt;&gt;"","bezahlt",IF(TODAY()-B53&gt;'Meine Daten'!$C$17,"ÜBERFÄLLIG","offen")))</f>
        <v/>
      </c>
      <c r="G53" s="30">
        <f>IF(A53="","",IF(COUNTIF($A$5:$A$204,A53)&gt;1,"DOPPELT!",""))</f>
        <v/>
      </c>
    </row>
    <row r="54">
      <c r="A54" s="16" t="n"/>
      <c r="B54" s="29" t="n"/>
      <c r="C54" s="16" t="n"/>
      <c r="D54" s="17" t="n"/>
      <c r="E54" s="29" t="n"/>
      <c r="F54" s="30">
        <f>IF(A54="","",IF(E54&lt;&gt;"","bezahlt",IF(TODAY()-B54&gt;'Meine Daten'!$C$17,"ÜBERFÄLLIG","offen")))</f>
        <v/>
      </c>
      <c r="G54" s="30">
        <f>IF(A54="","",IF(COUNTIF($A$5:$A$204,A54)&gt;1,"DOPPELT!",""))</f>
        <v/>
      </c>
    </row>
    <row r="55">
      <c r="A55" s="16" t="n"/>
      <c r="B55" s="29" t="n"/>
      <c r="C55" s="16" t="n"/>
      <c r="D55" s="17" t="n"/>
      <c r="E55" s="29" t="n"/>
      <c r="F55" s="30">
        <f>IF(A55="","",IF(E55&lt;&gt;"","bezahlt",IF(TODAY()-B55&gt;'Meine Daten'!$C$17,"ÜBERFÄLLIG","offen")))</f>
        <v/>
      </c>
      <c r="G55" s="30">
        <f>IF(A55="","",IF(COUNTIF($A$5:$A$204,A55)&gt;1,"DOPPELT!",""))</f>
        <v/>
      </c>
    </row>
    <row r="56">
      <c r="A56" s="16" t="n"/>
      <c r="B56" s="29" t="n"/>
      <c r="C56" s="16" t="n"/>
      <c r="D56" s="17" t="n"/>
      <c r="E56" s="29" t="n"/>
      <c r="F56" s="30">
        <f>IF(A56="","",IF(E56&lt;&gt;"","bezahlt",IF(TODAY()-B56&gt;'Meine Daten'!$C$17,"ÜBERFÄLLIG","offen")))</f>
        <v/>
      </c>
      <c r="G56" s="30">
        <f>IF(A56="","",IF(COUNTIF($A$5:$A$204,A56)&gt;1,"DOPPELT!",""))</f>
        <v/>
      </c>
    </row>
    <row r="57">
      <c r="A57" s="16" t="n"/>
      <c r="B57" s="29" t="n"/>
      <c r="C57" s="16" t="n"/>
      <c r="D57" s="17" t="n"/>
      <c r="E57" s="29" t="n"/>
      <c r="F57" s="30">
        <f>IF(A57="","",IF(E57&lt;&gt;"","bezahlt",IF(TODAY()-B57&gt;'Meine Daten'!$C$17,"ÜBERFÄLLIG","offen")))</f>
        <v/>
      </c>
      <c r="G57" s="30">
        <f>IF(A57="","",IF(COUNTIF($A$5:$A$204,A57)&gt;1,"DOPPELT!",""))</f>
        <v/>
      </c>
    </row>
    <row r="58">
      <c r="A58" s="16" t="n"/>
      <c r="B58" s="29" t="n"/>
      <c r="C58" s="16" t="n"/>
      <c r="D58" s="17" t="n"/>
      <c r="E58" s="29" t="n"/>
      <c r="F58" s="30">
        <f>IF(A58="","",IF(E58&lt;&gt;"","bezahlt",IF(TODAY()-B58&gt;'Meine Daten'!$C$17,"ÜBERFÄLLIG","offen")))</f>
        <v/>
      </c>
      <c r="G58" s="30">
        <f>IF(A58="","",IF(COUNTIF($A$5:$A$204,A58)&gt;1,"DOPPELT!",""))</f>
        <v/>
      </c>
    </row>
    <row r="59">
      <c r="A59" s="16" t="n"/>
      <c r="B59" s="29" t="n"/>
      <c r="C59" s="16" t="n"/>
      <c r="D59" s="17" t="n"/>
      <c r="E59" s="29" t="n"/>
      <c r="F59" s="30">
        <f>IF(A59="","",IF(E59&lt;&gt;"","bezahlt",IF(TODAY()-B59&gt;'Meine Daten'!$C$17,"ÜBERFÄLLIG","offen")))</f>
        <v/>
      </c>
      <c r="G59" s="30">
        <f>IF(A59="","",IF(COUNTIF($A$5:$A$204,A59)&gt;1,"DOPPELT!",""))</f>
        <v/>
      </c>
    </row>
    <row r="60">
      <c r="A60" s="16" t="n"/>
      <c r="B60" s="29" t="n"/>
      <c r="C60" s="16" t="n"/>
      <c r="D60" s="17" t="n"/>
      <c r="E60" s="29" t="n"/>
      <c r="F60" s="30">
        <f>IF(A60="","",IF(E60&lt;&gt;"","bezahlt",IF(TODAY()-B60&gt;'Meine Daten'!$C$17,"ÜBERFÄLLIG","offen")))</f>
        <v/>
      </c>
      <c r="G60" s="30">
        <f>IF(A60="","",IF(COUNTIF($A$5:$A$204,A60)&gt;1,"DOPPELT!",""))</f>
        <v/>
      </c>
    </row>
    <row r="61">
      <c r="A61" s="16" t="n"/>
      <c r="B61" s="29" t="n"/>
      <c r="C61" s="16" t="n"/>
      <c r="D61" s="17" t="n"/>
      <c r="E61" s="29" t="n"/>
      <c r="F61" s="30">
        <f>IF(A61="","",IF(E61&lt;&gt;"","bezahlt",IF(TODAY()-B61&gt;'Meine Daten'!$C$17,"ÜBERFÄLLIG","offen")))</f>
        <v/>
      </c>
      <c r="G61" s="30">
        <f>IF(A61="","",IF(COUNTIF($A$5:$A$204,A61)&gt;1,"DOPPELT!",""))</f>
        <v/>
      </c>
    </row>
    <row r="62">
      <c r="A62" s="16" t="n"/>
      <c r="B62" s="29" t="n"/>
      <c r="C62" s="16" t="n"/>
      <c r="D62" s="17" t="n"/>
      <c r="E62" s="29" t="n"/>
      <c r="F62" s="30">
        <f>IF(A62="","",IF(E62&lt;&gt;"","bezahlt",IF(TODAY()-B62&gt;'Meine Daten'!$C$17,"ÜBERFÄLLIG","offen")))</f>
        <v/>
      </c>
      <c r="G62" s="30">
        <f>IF(A62="","",IF(COUNTIF($A$5:$A$204,A62)&gt;1,"DOPPELT!",""))</f>
        <v/>
      </c>
    </row>
    <row r="63">
      <c r="A63" s="16" t="n"/>
      <c r="B63" s="29" t="n"/>
      <c r="C63" s="16" t="n"/>
      <c r="D63" s="17" t="n"/>
      <c r="E63" s="29" t="n"/>
      <c r="F63" s="30">
        <f>IF(A63="","",IF(E63&lt;&gt;"","bezahlt",IF(TODAY()-B63&gt;'Meine Daten'!$C$17,"ÜBERFÄLLIG","offen")))</f>
        <v/>
      </c>
      <c r="G63" s="30">
        <f>IF(A63="","",IF(COUNTIF($A$5:$A$204,A63)&gt;1,"DOPPELT!",""))</f>
        <v/>
      </c>
    </row>
    <row r="64">
      <c r="A64" s="16" t="n"/>
      <c r="B64" s="29" t="n"/>
      <c r="C64" s="16" t="n"/>
      <c r="D64" s="17" t="n"/>
      <c r="E64" s="29" t="n"/>
      <c r="F64" s="30">
        <f>IF(A64="","",IF(E64&lt;&gt;"","bezahlt",IF(TODAY()-B64&gt;'Meine Daten'!$C$17,"ÜBERFÄLLIG","offen")))</f>
        <v/>
      </c>
      <c r="G64" s="30">
        <f>IF(A64="","",IF(COUNTIF($A$5:$A$204,A64)&gt;1,"DOPPELT!",""))</f>
        <v/>
      </c>
    </row>
    <row r="65">
      <c r="A65" s="16" t="n"/>
      <c r="B65" s="29" t="n"/>
      <c r="C65" s="16" t="n"/>
      <c r="D65" s="17" t="n"/>
      <c r="E65" s="29" t="n"/>
      <c r="F65" s="30">
        <f>IF(A65="","",IF(E65&lt;&gt;"","bezahlt",IF(TODAY()-B65&gt;'Meine Daten'!$C$17,"ÜBERFÄLLIG","offen")))</f>
        <v/>
      </c>
      <c r="G65" s="30">
        <f>IF(A65="","",IF(COUNTIF($A$5:$A$204,A65)&gt;1,"DOPPELT!",""))</f>
        <v/>
      </c>
    </row>
    <row r="66">
      <c r="A66" s="16" t="n"/>
      <c r="B66" s="29" t="n"/>
      <c r="C66" s="16" t="n"/>
      <c r="D66" s="17" t="n"/>
      <c r="E66" s="29" t="n"/>
      <c r="F66" s="30">
        <f>IF(A66="","",IF(E66&lt;&gt;"","bezahlt",IF(TODAY()-B66&gt;'Meine Daten'!$C$17,"ÜBERFÄLLIG","offen")))</f>
        <v/>
      </c>
      <c r="G66" s="30">
        <f>IF(A66="","",IF(COUNTIF($A$5:$A$204,A66)&gt;1,"DOPPELT!",""))</f>
        <v/>
      </c>
    </row>
    <row r="67">
      <c r="A67" s="16" t="n"/>
      <c r="B67" s="29" t="n"/>
      <c r="C67" s="16" t="n"/>
      <c r="D67" s="17" t="n"/>
      <c r="E67" s="29" t="n"/>
      <c r="F67" s="30">
        <f>IF(A67="","",IF(E67&lt;&gt;"","bezahlt",IF(TODAY()-B67&gt;'Meine Daten'!$C$17,"ÜBERFÄLLIG","offen")))</f>
        <v/>
      </c>
      <c r="G67" s="30">
        <f>IF(A67="","",IF(COUNTIF($A$5:$A$204,A67)&gt;1,"DOPPELT!",""))</f>
        <v/>
      </c>
    </row>
    <row r="68">
      <c r="A68" s="16" t="n"/>
      <c r="B68" s="29" t="n"/>
      <c r="C68" s="16" t="n"/>
      <c r="D68" s="17" t="n"/>
      <c r="E68" s="29" t="n"/>
      <c r="F68" s="30">
        <f>IF(A68="","",IF(E68&lt;&gt;"","bezahlt",IF(TODAY()-B68&gt;'Meine Daten'!$C$17,"ÜBERFÄLLIG","offen")))</f>
        <v/>
      </c>
      <c r="G68" s="30">
        <f>IF(A68="","",IF(COUNTIF($A$5:$A$204,A68)&gt;1,"DOPPELT!",""))</f>
        <v/>
      </c>
    </row>
    <row r="69">
      <c r="A69" s="16" t="n"/>
      <c r="B69" s="29" t="n"/>
      <c r="C69" s="16" t="n"/>
      <c r="D69" s="17" t="n"/>
      <c r="E69" s="29" t="n"/>
      <c r="F69" s="30">
        <f>IF(A69="","",IF(E69&lt;&gt;"","bezahlt",IF(TODAY()-B69&gt;'Meine Daten'!$C$17,"ÜBERFÄLLIG","offen")))</f>
        <v/>
      </c>
      <c r="G69" s="30">
        <f>IF(A69="","",IF(COUNTIF($A$5:$A$204,A69)&gt;1,"DOPPELT!",""))</f>
        <v/>
      </c>
    </row>
    <row r="70">
      <c r="A70" s="16" t="n"/>
      <c r="B70" s="29" t="n"/>
      <c r="C70" s="16" t="n"/>
      <c r="D70" s="17" t="n"/>
      <c r="E70" s="29" t="n"/>
      <c r="F70" s="30">
        <f>IF(A70="","",IF(E70&lt;&gt;"","bezahlt",IF(TODAY()-B70&gt;'Meine Daten'!$C$17,"ÜBERFÄLLIG","offen")))</f>
        <v/>
      </c>
      <c r="G70" s="30">
        <f>IF(A70="","",IF(COUNTIF($A$5:$A$204,A70)&gt;1,"DOPPELT!",""))</f>
        <v/>
      </c>
    </row>
    <row r="71">
      <c r="A71" s="16" t="n"/>
      <c r="B71" s="29" t="n"/>
      <c r="C71" s="16" t="n"/>
      <c r="D71" s="17" t="n"/>
      <c r="E71" s="29" t="n"/>
      <c r="F71" s="30">
        <f>IF(A71="","",IF(E71&lt;&gt;"","bezahlt",IF(TODAY()-B71&gt;'Meine Daten'!$C$17,"ÜBERFÄLLIG","offen")))</f>
        <v/>
      </c>
      <c r="G71" s="30">
        <f>IF(A71="","",IF(COUNTIF($A$5:$A$204,A71)&gt;1,"DOPPELT!",""))</f>
        <v/>
      </c>
    </row>
    <row r="72">
      <c r="A72" s="16" t="n"/>
      <c r="B72" s="29" t="n"/>
      <c r="C72" s="16" t="n"/>
      <c r="D72" s="17" t="n"/>
      <c r="E72" s="29" t="n"/>
      <c r="F72" s="30">
        <f>IF(A72="","",IF(E72&lt;&gt;"","bezahlt",IF(TODAY()-B72&gt;'Meine Daten'!$C$17,"ÜBERFÄLLIG","offen")))</f>
        <v/>
      </c>
      <c r="G72" s="30">
        <f>IF(A72="","",IF(COUNTIF($A$5:$A$204,A72)&gt;1,"DOPPELT!",""))</f>
        <v/>
      </c>
    </row>
    <row r="73">
      <c r="A73" s="16" t="n"/>
      <c r="B73" s="29" t="n"/>
      <c r="C73" s="16" t="n"/>
      <c r="D73" s="17" t="n"/>
      <c r="E73" s="29" t="n"/>
      <c r="F73" s="30">
        <f>IF(A73="","",IF(E73&lt;&gt;"","bezahlt",IF(TODAY()-B73&gt;'Meine Daten'!$C$17,"ÜBERFÄLLIG","offen")))</f>
        <v/>
      </c>
      <c r="G73" s="30">
        <f>IF(A73="","",IF(COUNTIF($A$5:$A$204,A73)&gt;1,"DOPPELT!",""))</f>
        <v/>
      </c>
    </row>
    <row r="74">
      <c r="A74" s="16" t="n"/>
      <c r="B74" s="29" t="n"/>
      <c r="C74" s="16" t="n"/>
      <c r="D74" s="17" t="n"/>
      <c r="E74" s="29" t="n"/>
      <c r="F74" s="30">
        <f>IF(A74="","",IF(E74&lt;&gt;"","bezahlt",IF(TODAY()-B74&gt;'Meine Daten'!$C$17,"ÜBERFÄLLIG","offen")))</f>
        <v/>
      </c>
      <c r="G74" s="30">
        <f>IF(A74="","",IF(COUNTIF($A$5:$A$204,A74)&gt;1,"DOPPELT!",""))</f>
        <v/>
      </c>
    </row>
    <row r="75">
      <c r="A75" s="16" t="n"/>
      <c r="B75" s="29" t="n"/>
      <c r="C75" s="16" t="n"/>
      <c r="D75" s="17" t="n"/>
      <c r="E75" s="29" t="n"/>
      <c r="F75" s="30">
        <f>IF(A75="","",IF(E75&lt;&gt;"","bezahlt",IF(TODAY()-B75&gt;'Meine Daten'!$C$17,"ÜBERFÄLLIG","offen")))</f>
        <v/>
      </c>
      <c r="G75" s="30">
        <f>IF(A75="","",IF(COUNTIF($A$5:$A$204,A75)&gt;1,"DOPPELT!",""))</f>
        <v/>
      </c>
    </row>
    <row r="76">
      <c r="A76" s="16" t="n"/>
      <c r="B76" s="29" t="n"/>
      <c r="C76" s="16" t="n"/>
      <c r="D76" s="17" t="n"/>
      <c r="E76" s="29" t="n"/>
      <c r="F76" s="30">
        <f>IF(A76="","",IF(E76&lt;&gt;"","bezahlt",IF(TODAY()-B76&gt;'Meine Daten'!$C$17,"ÜBERFÄLLIG","offen")))</f>
        <v/>
      </c>
      <c r="G76" s="30">
        <f>IF(A76="","",IF(COUNTIF($A$5:$A$204,A76)&gt;1,"DOPPELT!",""))</f>
        <v/>
      </c>
    </row>
    <row r="77">
      <c r="A77" s="16" t="n"/>
      <c r="B77" s="29" t="n"/>
      <c r="C77" s="16" t="n"/>
      <c r="D77" s="17" t="n"/>
      <c r="E77" s="29" t="n"/>
      <c r="F77" s="30">
        <f>IF(A77="","",IF(E77&lt;&gt;"","bezahlt",IF(TODAY()-B77&gt;'Meine Daten'!$C$17,"ÜBERFÄLLIG","offen")))</f>
        <v/>
      </c>
      <c r="G77" s="30">
        <f>IF(A77="","",IF(COUNTIF($A$5:$A$204,A77)&gt;1,"DOPPELT!",""))</f>
        <v/>
      </c>
    </row>
    <row r="78">
      <c r="A78" s="16" t="n"/>
      <c r="B78" s="29" t="n"/>
      <c r="C78" s="16" t="n"/>
      <c r="D78" s="17" t="n"/>
      <c r="E78" s="29" t="n"/>
      <c r="F78" s="30">
        <f>IF(A78="","",IF(E78&lt;&gt;"","bezahlt",IF(TODAY()-B78&gt;'Meine Daten'!$C$17,"ÜBERFÄLLIG","offen")))</f>
        <v/>
      </c>
      <c r="G78" s="30">
        <f>IF(A78="","",IF(COUNTIF($A$5:$A$204,A78)&gt;1,"DOPPELT!",""))</f>
        <v/>
      </c>
    </row>
    <row r="79">
      <c r="A79" s="16" t="n"/>
      <c r="B79" s="29" t="n"/>
      <c r="C79" s="16" t="n"/>
      <c r="D79" s="17" t="n"/>
      <c r="E79" s="29" t="n"/>
      <c r="F79" s="30">
        <f>IF(A79="","",IF(E79&lt;&gt;"","bezahlt",IF(TODAY()-B79&gt;'Meine Daten'!$C$17,"ÜBERFÄLLIG","offen")))</f>
        <v/>
      </c>
      <c r="G79" s="30">
        <f>IF(A79="","",IF(COUNTIF($A$5:$A$204,A79)&gt;1,"DOPPELT!",""))</f>
        <v/>
      </c>
    </row>
    <row r="80">
      <c r="A80" s="16" t="n"/>
      <c r="B80" s="29" t="n"/>
      <c r="C80" s="16" t="n"/>
      <c r="D80" s="17" t="n"/>
      <c r="E80" s="29" t="n"/>
      <c r="F80" s="30">
        <f>IF(A80="","",IF(E80&lt;&gt;"","bezahlt",IF(TODAY()-B80&gt;'Meine Daten'!$C$17,"ÜBERFÄLLIG","offen")))</f>
        <v/>
      </c>
      <c r="G80" s="30">
        <f>IF(A80="","",IF(COUNTIF($A$5:$A$204,A80)&gt;1,"DOPPELT!",""))</f>
        <v/>
      </c>
    </row>
    <row r="81">
      <c r="A81" s="16" t="n"/>
      <c r="B81" s="29" t="n"/>
      <c r="C81" s="16" t="n"/>
      <c r="D81" s="17" t="n"/>
      <c r="E81" s="29" t="n"/>
      <c r="F81" s="30">
        <f>IF(A81="","",IF(E81&lt;&gt;"","bezahlt",IF(TODAY()-B81&gt;'Meine Daten'!$C$17,"ÜBERFÄLLIG","offen")))</f>
        <v/>
      </c>
      <c r="G81" s="30">
        <f>IF(A81="","",IF(COUNTIF($A$5:$A$204,A81)&gt;1,"DOPPELT!",""))</f>
        <v/>
      </c>
    </row>
    <row r="82">
      <c r="A82" s="16" t="n"/>
      <c r="B82" s="29" t="n"/>
      <c r="C82" s="16" t="n"/>
      <c r="D82" s="17" t="n"/>
      <c r="E82" s="29" t="n"/>
      <c r="F82" s="30">
        <f>IF(A82="","",IF(E82&lt;&gt;"","bezahlt",IF(TODAY()-B82&gt;'Meine Daten'!$C$17,"ÜBERFÄLLIG","offen")))</f>
        <v/>
      </c>
      <c r="G82" s="30">
        <f>IF(A82="","",IF(COUNTIF($A$5:$A$204,A82)&gt;1,"DOPPELT!",""))</f>
        <v/>
      </c>
    </row>
    <row r="83">
      <c r="A83" s="16" t="n"/>
      <c r="B83" s="29" t="n"/>
      <c r="C83" s="16" t="n"/>
      <c r="D83" s="17" t="n"/>
      <c r="E83" s="29" t="n"/>
      <c r="F83" s="30">
        <f>IF(A83="","",IF(E83&lt;&gt;"","bezahlt",IF(TODAY()-B83&gt;'Meine Daten'!$C$17,"ÜBERFÄLLIG","offen")))</f>
        <v/>
      </c>
      <c r="G83" s="30">
        <f>IF(A83="","",IF(COUNTIF($A$5:$A$204,A83)&gt;1,"DOPPELT!",""))</f>
        <v/>
      </c>
    </row>
    <row r="84">
      <c r="A84" s="16" t="n"/>
      <c r="B84" s="29" t="n"/>
      <c r="C84" s="16" t="n"/>
      <c r="D84" s="17" t="n"/>
      <c r="E84" s="29" t="n"/>
      <c r="F84" s="30">
        <f>IF(A84="","",IF(E84&lt;&gt;"","bezahlt",IF(TODAY()-B84&gt;'Meine Daten'!$C$17,"ÜBERFÄLLIG","offen")))</f>
        <v/>
      </c>
      <c r="G84" s="30">
        <f>IF(A84="","",IF(COUNTIF($A$5:$A$204,A84)&gt;1,"DOPPELT!",""))</f>
        <v/>
      </c>
    </row>
    <row r="85">
      <c r="A85" s="16" t="n"/>
      <c r="B85" s="29" t="n"/>
      <c r="C85" s="16" t="n"/>
      <c r="D85" s="17" t="n"/>
      <c r="E85" s="29" t="n"/>
      <c r="F85" s="30">
        <f>IF(A85="","",IF(E85&lt;&gt;"","bezahlt",IF(TODAY()-B85&gt;'Meine Daten'!$C$17,"ÜBERFÄLLIG","offen")))</f>
        <v/>
      </c>
      <c r="G85" s="30">
        <f>IF(A85="","",IF(COUNTIF($A$5:$A$204,A85)&gt;1,"DOPPELT!",""))</f>
        <v/>
      </c>
    </row>
    <row r="86">
      <c r="A86" s="16" t="n"/>
      <c r="B86" s="29" t="n"/>
      <c r="C86" s="16" t="n"/>
      <c r="D86" s="17" t="n"/>
      <c r="E86" s="29" t="n"/>
      <c r="F86" s="30">
        <f>IF(A86="","",IF(E86&lt;&gt;"","bezahlt",IF(TODAY()-B86&gt;'Meine Daten'!$C$17,"ÜBERFÄLLIG","offen")))</f>
        <v/>
      </c>
      <c r="G86" s="30">
        <f>IF(A86="","",IF(COUNTIF($A$5:$A$204,A86)&gt;1,"DOPPELT!",""))</f>
        <v/>
      </c>
    </row>
    <row r="87">
      <c r="A87" s="16" t="n"/>
      <c r="B87" s="29" t="n"/>
      <c r="C87" s="16" t="n"/>
      <c r="D87" s="17" t="n"/>
      <c r="E87" s="29" t="n"/>
      <c r="F87" s="30">
        <f>IF(A87="","",IF(E87&lt;&gt;"","bezahlt",IF(TODAY()-B87&gt;'Meine Daten'!$C$17,"ÜBERFÄLLIG","offen")))</f>
        <v/>
      </c>
      <c r="G87" s="30">
        <f>IF(A87="","",IF(COUNTIF($A$5:$A$204,A87)&gt;1,"DOPPELT!",""))</f>
        <v/>
      </c>
    </row>
    <row r="88">
      <c r="A88" s="16" t="n"/>
      <c r="B88" s="29" t="n"/>
      <c r="C88" s="16" t="n"/>
      <c r="D88" s="17" t="n"/>
      <c r="E88" s="29" t="n"/>
      <c r="F88" s="30">
        <f>IF(A88="","",IF(E88&lt;&gt;"","bezahlt",IF(TODAY()-B88&gt;'Meine Daten'!$C$17,"ÜBERFÄLLIG","offen")))</f>
        <v/>
      </c>
      <c r="G88" s="30">
        <f>IF(A88="","",IF(COUNTIF($A$5:$A$204,A88)&gt;1,"DOPPELT!",""))</f>
        <v/>
      </c>
    </row>
    <row r="89">
      <c r="A89" s="16" t="n"/>
      <c r="B89" s="29" t="n"/>
      <c r="C89" s="16" t="n"/>
      <c r="D89" s="17" t="n"/>
      <c r="E89" s="29" t="n"/>
      <c r="F89" s="30">
        <f>IF(A89="","",IF(E89&lt;&gt;"","bezahlt",IF(TODAY()-B89&gt;'Meine Daten'!$C$17,"ÜBERFÄLLIG","offen")))</f>
        <v/>
      </c>
      <c r="G89" s="30">
        <f>IF(A89="","",IF(COUNTIF($A$5:$A$204,A89)&gt;1,"DOPPELT!",""))</f>
        <v/>
      </c>
    </row>
    <row r="90">
      <c r="A90" s="16" t="n"/>
      <c r="B90" s="29" t="n"/>
      <c r="C90" s="16" t="n"/>
      <c r="D90" s="17" t="n"/>
      <c r="E90" s="29" t="n"/>
      <c r="F90" s="30">
        <f>IF(A90="","",IF(E90&lt;&gt;"","bezahlt",IF(TODAY()-B90&gt;'Meine Daten'!$C$17,"ÜBERFÄLLIG","offen")))</f>
        <v/>
      </c>
      <c r="G90" s="30">
        <f>IF(A90="","",IF(COUNTIF($A$5:$A$204,A90)&gt;1,"DOPPELT!",""))</f>
        <v/>
      </c>
    </row>
    <row r="91">
      <c r="A91" s="16" t="n"/>
      <c r="B91" s="29" t="n"/>
      <c r="C91" s="16" t="n"/>
      <c r="D91" s="17" t="n"/>
      <c r="E91" s="29" t="n"/>
      <c r="F91" s="30">
        <f>IF(A91="","",IF(E91&lt;&gt;"","bezahlt",IF(TODAY()-B91&gt;'Meine Daten'!$C$17,"ÜBERFÄLLIG","offen")))</f>
        <v/>
      </c>
      <c r="G91" s="30">
        <f>IF(A91="","",IF(COUNTIF($A$5:$A$204,A91)&gt;1,"DOPPELT!",""))</f>
        <v/>
      </c>
    </row>
    <row r="92">
      <c r="A92" s="16" t="n"/>
      <c r="B92" s="29" t="n"/>
      <c r="C92" s="16" t="n"/>
      <c r="D92" s="17" t="n"/>
      <c r="E92" s="29" t="n"/>
      <c r="F92" s="30">
        <f>IF(A92="","",IF(E92&lt;&gt;"","bezahlt",IF(TODAY()-B92&gt;'Meine Daten'!$C$17,"ÜBERFÄLLIG","offen")))</f>
        <v/>
      </c>
      <c r="G92" s="30">
        <f>IF(A92="","",IF(COUNTIF($A$5:$A$204,A92)&gt;1,"DOPPELT!",""))</f>
        <v/>
      </c>
    </row>
    <row r="93">
      <c r="A93" s="16" t="n"/>
      <c r="B93" s="29" t="n"/>
      <c r="C93" s="16" t="n"/>
      <c r="D93" s="17" t="n"/>
      <c r="E93" s="29" t="n"/>
      <c r="F93" s="30">
        <f>IF(A93="","",IF(E93&lt;&gt;"","bezahlt",IF(TODAY()-B93&gt;'Meine Daten'!$C$17,"ÜBERFÄLLIG","offen")))</f>
        <v/>
      </c>
      <c r="G93" s="30">
        <f>IF(A93="","",IF(COUNTIF($A$5:$A$204,A93)&gt;1,"DOPPELT!",""))</f>
        <v/>
      </c>
    </row>
    <row r="94">
      <c r="A94" s="16" t="n"/>
      <c r="B94" s="29" t="n"/>
      <c r="C94" s="16" t="n"/>
      <c r="D94" s="17" t="n"/>
      <c r="E94" s="29" t="n"/>
      <c r="F94" s="30">
        <f>IF(A94="","",IF(E94&lt;&gt;"","bezahlt",IF(TODAY()-B94&gt;'Meine Daten'!$C$17,"ÜBERFÄLLIG","offen")))</f>
        <v/>
      </c>
      <c r="G94" s="30">
        <f>IF(A94="","",IF(COUNTIF($A$5:$A$204,A94)&gt;1,"DOPPELT!",""))</f>
        <v/>
      </c>
    </row>
    <row r="95">
      <c r="A95" s="16" t="n"/>
      <c r="B95" s="29" t="n"/>
      <c r="C95" s="16" t="n"/>
      <c r="D95" s="17" t="n"/>
      <c r="E95" s="29" t="n"/>
      <c r="F95" s="30">
        <f>IF(A95="","",IF(E95&lt;&gt;"","bezahlt",IF(TODAY()-B95&gt;'Meine Daten'!$C$17,"ÜBERFÄLLIG","offen")))</f>
        <v/>
      </c>
      <c r="G95" s="30">
        <f>IF(A95="","",IF(COUNTIF($A$5:$A$204,A95)&gt;1,"DOPPELT!",""))</f>
        <v/>
      </c>
    </row>
    <row r="96">
      <c r="A96" s="16" t="n"/>
      <c r="B96" s="29" t="n"/>
      <c r="C96" s="16" t="n"/>
      <c r="D96" s="17" t="n"/>
      <c r="E96" s="29" t="n"/>
      <c r="F96" s="30">
        <f>IF(A96="","",IF(E96&lt;&gt;"","bezahlt",IF(TODAY()-B96&gt;'Meine Daten'!$C$17,"ÜBERFÄLLIG","offen")))</f>
        <v/>
      </c>
      <c r="G96" s="30">
        <f>IF(A96="","",IF(COUNTIF($A$5:$A$204,A96)&gt;1,"DOPPELT!",""))</f>
        <v/>
      </c>
    </row>
    <row r="97">
      <c r="A97" s="16" t="n"/>
      <c r="B97" s="29" t="n"/>
      <c r="C97" s="16" t="n"/>
      <c r="D97" s="17" t="n"/>
      <c r="E97" s="29" t="n"/>
      <c r="F97" s="30">
        <f>IF(A97="","",IF(E97&lt;&gt;"","bezahlt",IF(TODAY()-B97&gt;'Meine Daten'!$C$17,"ÜBERFÄLLIG","offen")))</f>
        <v/>
      </c>
      <c r="G97" s="30">
        <f>IF(A97="","",IF(COUNTIF($A$5:$A$204,A97)&gt;1,"DOPPELT!",""))</f>
        <v/>
      </c>
    </row>
    <row r="98">
      <c r="A98" s="16" t="n"/>
      <c r="B98" s="29" t="n"/>
      <c r="C98" s="16" t="n"/>
      <c r="D98" s="17" t="n"/>
      <c r="E98" s="29" t="n"/>
      <c r="F98" s="30">
        <f>IF(A98="","",IF(E98&lt;&gt;"","bezahlt",IF(TODAY()-B98&gt;'Meine Daten'!$C$17,"ÜBERFÄLLIG","offen")))</f>
        <v/>
      </c>
      <c r="G98" s="30">
        <f>IF(A98="","",IF(COUNTIF($A$5:$A$204,A98)&gt;1,"DOPPELT!",""))</f>
        <v/>
      </c>
    </row>
    <row r="99">
      <c r="A99" s="16" t="n"/>
      <c r="B99" s="29" t="n"/>
      <c r="C99" s="16" t="n"/>
      <c r="D99" s="17" t="n"/>
      <c r="E99" s="29" t="n"/>
      <c r="F99" s="30">
        <f>IF(A99="","",IF(E99&lt;&gt;"","bezahlt",IF(TODAY()-B99&gt;'Meine Daten'!$C$17,"ÜBERFÄLLIG","offen")))</f>
        <v/>
      </c>
      <c r="G99" s="30">
        <f>IF(A99="","",IF(COUNTIF($A$5:$A$204,A99)&gt;1,"DOPPELT!",""))</f>
        <v/>
      </c>
    </row>
    <row r="100">
      <c r="A100" s="16" t="n"/>
      <c r="B100" s="29" t="n"/>
      <c r="C100" s="16" t="n"/>
      <c r="D100" s="17" t="n"/>
      <c r="E100" s="29" t="n"/>
      <c r="F100" s="30">
        <f>IF(A100="","",IF(E100&lt;&gt;"","bezahlt",IF(TODAY()-B100&gt;'Meine Daten'!$C$17,"ÜBERFÄLLIG","offen")))</f>
        <v/>
      </c>
      <c r="G100" s="30">
        <f>IF(A100="","",IF(COUNTIF($A$5:$A$204,A100)&gt;1,"DOPPELT!",""))</f>
        <v/>
      </c>
    </row>
    <row r="101">
      <c r="A101" s="16" t="n"/>
      <c r="B101" s="29" t="n"/>
      <c r="C101" s="16" t="n"/>
      <c r="D101" s="17" t="n"/>
      <c r="E101" s="29" t="n"/>
      <c r="F101" s="30">
        <f>IF(A101="","",IF(E101&lt;&gt;"","bezahlt",IF(TODAY()-B101&gt;'Meine Daten'!$C$17,"ÜBERFÄLLIG","offen")))</f>
        <v/>
      </c>
      <c r="G101" s="30">
        <f>IF(A101="","",IF(COUNTIF($A$5:$A$204,A101)&gt;1,"DOPPELT!",""))</f>
        <v/>
      </c>
    </row>
    <row r="102">
      <c r="A102" s="16" t="n"/>
      <c r="B102" s="29" t="n"/>
      <c r="C102" s="16" t="n"/>
      <c r="D102" s="17" t="n"/>
      <c r="E102" s="29" t="n"/>
      <c r="F102" s="30">
        <f>IF(A102="","",IF(E102&lt;&gt;"","bezahlt",IF(TODAY()-B102&gt;'Meine Daten'!$C$17,"ÜBERFÄLLIG","offen")))</f>
        <v/>
      </c>
      <c r="G102" s="30">
        <f>IF(A102="","",IF(COUNTIF($A$5:$A$204,A102)&gt;1,"DOPPELT!",""))</f>
        <v/>
      </c>
    </row>
    <row r="103">
      <c r="A103" s="16" t="n"/>
      <c r="B103" s="29" t="n"/>
      <c r="C103" s="16" t="n"/>
      <c r="D103" s="17" t="n"/>
      <c r="E103" s="29" t="n"/>
      <c r="F103" s="30">
        <f>IF(A103="","",IF(E103&lt;&gt;"","bezahlt",IF(TODAY()-B103&gt;'Meine Daten'!$C$17,"ÜBERFÄLLIG","offen")))</f>
        <v/>
      </c>
      <c r="G103" s="30">
        <f>IF(A103="","",IF(COUNTIF($A$5:$A$204,A103)&gt;1,"DOPPELT!",""))</f>
        <v/>
      </c>
    </row>
    <row r="104">
      <c r="A104" s="16" t="n"/>
      <c r="B104" s="29" t="n"/>
      <c r="C104" s="16" t="n"/>
      <c r="D104" s="17" t="n"/>
      <c r="E104" s="29" t="n"/>
      <c r="F104" s="30">
        <f>IF(A104="","",IF(E104&lt;&gt;"","bezahlt",IF(TODAY()-B104&gt;'Meine Daten'!$C$17,"ÜBERFÄLLIG","offen")))</f>
        <v/>
      </c>
      <c r="G104" s="30">
        <f>IF(A104="","",IF(COUNTIF($A$5:$A$204,A104)&gt;1,"DOPPELT!",""))</f>
        <v/>
      </c>
    </row>
    <row r="105">
      <c r="A105" s="16" t="n"/>
      <c r="B105" s="29" t="n"/>
      <c r="C105" s="16" t="n"/>
      <c r="D105" s="17" t="n"/>
      <c r="E105" s="29" t="n"/>
      <c r="F105" s="30">
        <f>IF(A105="","",IF(E105&lt;&gt;"","bezahlt",IF(TODAY()-B105&gt;'Meine Daten'!$C$17,"ÜBERFÄLLIG","offen")))</f>
        <v/>
      </c>
      <c r="G105" s="30">
        <f>IF(A105="","",IF(COUNTIF($A$5:$A$204,A105)&gt;1,"DOPPELT!",""))</f>
        <v/>
      </c>
    </row>
    <row r="106">
      <c r="A106" s="16" t="n"/>
      <c r="B106" s="29" t="n"/>
      <c r="C106" s="16" t="n"/>
      <c r="D106" s="17" t="n"/>
      <c r="E106" s="29" t="n"/>
      <c r="F106" s="30">
        <f>IF(A106="","",IF(E106&lt;&gt;"","bezahlt",IF(TODAY()-B106&gt;'Meine Daten'!$C$17,"ÜBERFÄLLIG","offen")))</f>
        <v/>
      </c>
      <c r="G106" s="30">
        <f>IF(A106="","",IF(COUNTIF($A$5:$A$204,A106)&gt;1,"DOPPELT!",""))</f>
        <v/>
      </c>
    </row>
    <row r="107">
      <c r="A107" s="16" t="n"/>
      <c r="B107" s="29" t="n"/>
      <c r="C107" s="16" t="n"/>
      <c r="D107" s="17" t="n"/>
      <c r="E107" s="29" t="n"/>
      <c r="F107" s="30">
        <f>IF(A107="","",IF(E107&lt;&gt;"","bezahlt",IF(TODAY()-B107&gt;'Meine Daten'!$C$17,"ÜBERFÄLLIG","offen")))</f>
        <v/>
      </c>
      <c r="G107" s="30">
        <f>IF(A107="","",IF(COUNTIF($A$5:$A$204,A107)&gt;1,"DOPPELT!",""))</f>
        <v/>
      </c>
    </row>
    <row r="108">
      <c r="A108" s="16" t="n"/>
      <c r="B108" s="29" t="n"/>
      <c r="C108" s="16" t="n"/>
      <c r="D108" s="17" t="n"/>
      <c r="E108" s="29" t="n"/>
      <c r="F108" s="30">
        <f>IF(A108="","",IF(E108&lt;&gt;"","bezahlt",IF(TODAY()-B108&gt;'Meine Daten'!$C$17,"ÜBERFÄLLIG","offen")))</f>
        <v/>
      </c>
      <c r="G108" s="30">
        <f>IF(A108="","",IF(COUNTIF($A$5:$A$204,A108)&gt;1,"DOPPELT!",""))</f>
        <v/>
      </c>
    </row>
    <row r="109">
      <c r="A109" s="16" t="n"/>
      <c r="B109" s="29" t="n"/>
      <c r="C109" s="16" t="n"/>
      <c r="D109" s="17" t="n"/>
      <c r="E109" s="29" t="n"/>
      <c r="F109" s="30">
        <f>IF(A109="","",IF(E109&lt;&gt;"","bezahlt",IF(TODAY()-B109&gt;'Meine Daten'!$C$17,"ÜBERFÄLLIG","offen")))</f>
        <v/>
      </c>
      <c r="G109" s="30">
        <f>IF(A109="","",IF(COUNTIF($A$5:$A$204,A109)&gt;1,"DOPPELT!",""))</f>
        <v/>
      </c>
    </row>
    <row r="110">
      <c r="A110" s="16" t="n"/>
      <c r="B110" s="29" t="n"/>
      <c r="C110" s="16" t="n"/>
      <c r="D110" s="17" t="n"/>
      <c r="E110" s="29" t="n"/>
      <c r="F110" s="30">
        <f>IF(A110="","",IF(E110&lt;&gt;"","bezahlt",IF(TODAY()-B110&gt;'Meine Daten'!$C$17,"ÜBERFÄLLIG","offen")))</f>
        <v/>
      </c>
      <c r="G110" s="30">
        <f>IF(A110="","",IF(COUNTIF($A$5:$A$204,A110)&gt;1,"DOPPELT!",""))</f>
        <v/>
      </c>
    </row>
    <row r="111">
      <c r="A111" s="16" t="n"/>
      <c r="B111" s="29" t="n"/>
      <c r="C111" s="16" t="n"/>
      <c r="D111" s="17" t="n"/>
      <c r="E111" s="29" t="n"/>
      <c r="F111" s="30">
        <f>IF(A111="","",IF(E111&lt;&gt;"","bezahlt",IF(TODAY()-B111&gt;'Meine Daten'!$C$17,"ÜBERFÄLLIG","offen")))</f>
        <v/>
      </c>
      <c r="G111" s="30">
        <f>IF(A111="","",IF(COUNTIF($A$5:$A$204,A111)&gt;1,"DOPPELT!",""))</f>
        <v/>
      </c>
    </row>
    <row r="112">
      <c r="A112" s="16" t="n"/>
      <c r="B112" s="29" t="n"/>
      <c r="C112" s="16" t="n"/>
      <c r="D112" s="17" t="n"/>
      <c r="E112" s="29" t="n"/>
      <c r="F112" s="30">
        <f>IF(A112="","",IF(E112&lt;&gt;"","bezahlt",IF(TODAY()-B112&gt;'Meine Daten'!$C$17,"ÜBERFÄLLIG","offen")))</f>
        <v/>
      </c>
      <c r="G112" s="30">
        <f>IF(A112="","",IF(COUNTIF($A$5:$A$204,A112)&gt;1,"DOPPELT!",""))</f>
        <v/>
      </c>
    </row>
    <row r="113">
      <c r="A113" s="16" t="n"/>
      <c r="B113" s="29" t="n"/>
      <c r="C113" s="16" t="n"/>
      <c r="D113" s="17" t="n"/>
      <c r="E113" s="29" t="n"/>
      <c r="F113" s="30">
        <f>IF(A113="","",IF(E113&lt;&gt;"","bezahlt",IF(TODAY()-B113&gt;'Meine Daten'!$C$17,"ÜBERFÄLLIG","offen")))</f>
        <v/>
      </c>
      <c r="G113" s="30">
        <f>IF(A113="","",IF(COUNTIF($A$5:$A$204,A113)&gt;1,"DOPPELT!",""))</f>
        <v/>
      </c>
    </row>
    <row r="114">
      <c r="A114" s="16" t="n"/>
      <c r="B114" s="29" t="n"/>
      <c r="C114" s="16" t="n"/>
      <c r="D114" s="17" t="n"/>
      <c r="E114" s="29" t="n"/>
      <c r="F114" s="30">
        <f>IF(A114="","",IF(E114&lt;&gt;"","bezahlt",IF(TODAY()-B114&gt;'Meine Daten'!$C$17,"ÜBERFÄLLIG","offen")))</f>
        <v/>
      </c>
      <c r="G114" s="30">
        <f>IF(A114="","",IF(COUNTIF($A$5:$A$204,A114)&gt;1,"DOPPELT!",""))</f>
        <v/>
      </c>
    </row>
    <row r="115">
      <c r="A115" s="16" t="n"/>
      <c r="B115" s="29" t="n"/>
      <c r="C115" s="16" t="n"/>
      <c r="D115" s="17" t="n"/>
      <c r="E115" s="29" t="n"/>
      <c r="F115" s="30">
        <f>IF(A115="","",IF(E115&lt;&gt;"","bezahlt",IF(TODAY()-B115&gt;'Meine Daten'!$C$17,"ÜBERFÄLLIG","offen")))</f>
        <v/>
      </c>
      <c r="G115" s="30">
        <f>IF(A115="","",IF(COUNTIF($A$5:$A$204,A115)&gt;1,"DOPPELT!",""))</f>
        <v/>
      </c>
    </row>
    <row r="116">
      <c r="A116" s="16" t="n"/>
      <c r="B116" s="29" t="n"/>
      <c r="C116" s="16" t="n"/>
      <c r="D116" s="17" t="n"/>
      <c r="E116" s="29" t="n"/>
      <c r="F116" s="30">
        <f>IF(A116="","",IF(E116&lt;&gt;"","bezahlt",IF(TODAY()-B116&gt;'Meine Daten'!$C$17,"ÜBERFÄLLIG","offen")))</f>
        <v/>
      </c>
      <c r="G116" s="30">
        <f>IF(A116="","",IF(COUNTIF($A$5:$A$204,A116)&gt;1,"DOPPELT!",""))</f>
        <v/>
      </c>
    </row>
    <row r="117">
      <c r="A117" s="16" t="n"/>
      <c r="B117" s="29" t="n"/>
      <c r="C117" s="16" t="n"/>
      <c r="D117" s="17" t="n"/>
      <c r="E117" s="29" t="n"/>
      <c r="F117" s="30">
        <f>IF(A117="","",IF(E117&lt;&gt;"","bezahlt",IF(TODAY()-B117&gt;'Meine Daten'!$C$17,"ÜBERFÄLLIG","offen")))</f>
        <v/>
      </c>
      <c r="G117" s="30">
        <f>IF(A117="","",IF(COUNTIF($A$5:$A$204,A117)&gt;1,"DOPPELT!",""))</f>
        <v/>
      </c>
    </row>
    <row r="118">
      <c r="A118" s="16" t="n"/>
      <c r="B118" s="29" t="n"/>
      <c r="C118" s="16" t="n"/>
      <c r="D118" s="17" t="n"/>
      <c r="E118" s="29" t="n"/>
      <c r="F118" s="30">
        <f>IF(A118="","",IF(E118&lt;&gt;"","bezahlt",IF(TODAY()-B118&gt;'Meine Daten'!$C$17,"ÜBERFÄLLIG","offen")))</f>
        <v/>
      </c>
      <c r="G118" s="30">
        <f>IF(A118="","",IF(COUNTIF($A$5:$A$204,A118)&gt;1,"DOPPELT!",""))</f>
        <v/>
      </c>
    </row>
    <row r="119">
      <c r="A119" s="16" t="n"/>
      <c r="B119" s="29" t="n"/>
      <c r="C119" s="16" t="n"/>
      <c r="D119" s="17" t="n"/>
      <c r="E119" s="29" t="n"/>
      <c r="F119" s="30">
        <f>IF(A119="","",IF(E119&lt;&gt;"","bezahlt",IF(TODAY()-B119&gt;'Meine Daten'!$C$17,"ÜBERFÄLLIG","offen")))</f>
        <v/>
      </c>
      <c r="G119" s="30">
        <f>IF(A119="","",IF(COUNTIF($A$5:$A$204,A119)&gt;1,"DOPPELT!",""))</f>
        <v/>
      </c>
    </row>
    <row r="120">
      <c r="A120" s="16" t="n"/>
      <c r="B120" s="29" t="n"/>
      <c r="C120" s="16" t="n"/>
      <c r="D120" s="17" t="n"/>
      <c r="E120" s="29" t="n"/>
      <c r="F120" s="30">
        <f>IF(A120="","",IF(E120&lt;&gt;"","bezahlt",IF(TODAY()-B120&gt;'Meine Daten'!$C$17,"ÜBERFÄLLIG","offen")))</f>
        <v/>
      </c>
      <c r="G120" s="30">
        <f>IF(A120="","",IF(COUNTIF($A$5:$A$204,A120)&gt;1,"DOPPELT!",""))</f>
        <v/>
      </c>
    </row>
    <row r="121">
      <c r="A121" s="16" t="n"/>
      <c r="B121" s="29" t="n"/>
      <c r="C121" s="16" t="n"/>
      <c r="D121" s="17" t="n"/>
      <c r="E121" s="29" t="n"/>
      <c r="F121" s="30">
        <f>IF(A121="","",IF(E121&lt;&gt;"","bezahlt",IF(TODAY()-B121&gt;'Meine Daten'!$C$17,"ÜBERFÄLLIG","offen")))</f>
        <v/>
      </c>
      <c r="G121" s="30">
        <f>IF(A121="","",IF(COUNTIF($A$5:$A$204,A121)&gt;1,"DOPPELT!",""))</f>
        <v/>
      </c>
    </row>
    <row r="122">
      <c r="A122" s="16" t="n"/>
      <c r="B122" s="29" t="n"/>
      <c r="C122" s="16" t="n"/>
      <c r="D122" s="17" t="n"/>
      <c r="E122" s="29" t="n"/>
      <c r="F122" s="30">
        <f>IF(A122="","",IF(E122&lt;&gt;"","bezahlt",IF(TODAY()-B122&gt;'Meine Daten'!$C$17,"ÜBERFÄLLIG","offen")))</f>
        <v/>
      </c>
      <c r="G122" s="30">
        <f>IF(A122="","",IF(COUNTIF($A$5:$A$204,A122)&gt;1,"DOPPELT!",""))</f>
        <v/>
      </c>
    </row>
    <row r="123">
      <c r="A123" s="16" t="n"/>
      <c r="B123" s="29" t="n"/>
      <c r="C123" s="16" t="n"/>
      <c r="D123" s="17" t="n"/>
      <c r="E123" s="29" t="n"/>
      <c r="F123" s="30">
        <f>IF(A123="","",IF(E123&lt;&gt;"","bezahlt",IF(TODAY()-B123&gt;'Meine Daten'!$C$17,"ÜBERFÄLLIG","offen")))</f>
        <v/>
      </c>
      <c r="G123" s="30">
        <f>IF(A123="","",IF(COUNTIF($A$5:$A$204,A123)&gt;1,"DOPPELT!",""))</f>
        <v/>
      </c>
    </row>
    <row r="124">
      <c r="A124" s="16" t="n"/>
      <c r="B124" s="29" t="n"/>
      <c r="C124" s="16" t="n"/>
      <c r="D124" s="17" t="n"/>
      <c r="E124" s="29" t="n"/>
      <c r="F124" s="30">
        <f>IF(A124="","",IF(E124&lt;&gt;"","bezahlt",IF(TODAY()-B124&gt;'Meine Daten'!$C$17,"ÜBERFÄLLIG","offen")))</f>
        <v/>
      </c>
      <c r="G124" s="30">
        <f>IF(A124="","",IF(COUNTIF($A$5:$A$204,A124)&gt;1,"DOPPELT!",""))</f>
        <v/>
      </c>
    </row>
    <row r="125">
      <c r="A125" s="16" t="n"/>
      <c r="B125" s="29" t="n"/>
      <c r="C125" s="16" t="n"/>
      <c r="D125" s="17" t="n"/>
      <c r="E125" s="29" t="n"/>
      <c r="F125" s="30">
        <f>IF(A125="","",IF(E125&lt;&gt;"","bezahlt",IF(TODAY()-B125&gt;'Meine Daten'!$C$17,"ÜBERFÄLLIG","offen")))</f>
        <v/>
      </c>
      <c r="G125" s="30">
        <f>IF(A125="","",IF(COUNTIF($A$5:$A$204,A125)&gt;1,"DOPPELT!",""))</f>
        <v/>
      </c>
    </row>
    <row r="126">
      <c r="A126" s="16" t="n"/>
      <c r="B126" s="29" t="n"/>
      <c r="C126" s="16" t="n"/>
      <c r="D126" s="17" t="n"/>
      <c r="E126" s="29" t="n"/>
      <c r="F126" s="30">
        <f>IF(A126="","",IF(E126&lt;&gt;"","bezahlt",IF(TODAY()-B126&gt;'Meine Daten'!$C$17,"ÜBERFÄLLIG","offen")))</f>
        <v/>
      </c>
      <c r="G126" s="30">
        <f>IF(A126="","",IF(COUNTIF($A$5:$A$204,A126)&gt;1,"DOPPELT!",""))</f>
        <v/>
      </c>
    </row>
    <row r="127">
      <c r="A127" s="16" t="n"/>
      <c r="B127" s="29" t="n"/>
      <c r="C127" s="16" t="n"/>
      <c r="D127" s="17" t="n"/>
      <c r="E127" s="29" t="n"/>
      <c r="F127" s="30">
        <f>IF(A127="","",IF(E127&lt;&gt;"","bezahlt",IF(TODAY()-B127&gt;'Meine Daten'!$C$17,"ÜBERFÄLLIG","offen")))</f>
        <v/>
      </c>
      <c r="G127" s="30">
        <f>IF(A127="","",IF(COUNTIF($A$5:$A$204,A127)&gt;1,"DOPPELT!",""))</f>
        <v/>
      </c>
    </row>
    <row r="128">
      <c r="A128" s="16" t="n"/>
      <c r="B128" s="29" t="n"/>
      <c r="C128" s="16" t="n"/>
      <c r="D128" s="17" t="n"/>
      <c r="E128" s="29" t="n"/>
      <c r="F128" s="30">
        <f>IF(A128="","",IF(E128&lt;&gt;"","bezahlt",IF(TODAY()-B128&gt;'Meine Daten'!$C$17,"ÜBERFÄLLIG","offen")))</f>
        <v/>
      </c>
      <c r="G128" s="30">
        <f>IF(A128="","",IF(COUNTIF($A$5:$A$204,A128)&gt;1,"DOPPELT!",""))</f>
        <v/>
      </c>
    </row>
    <row r="129">
      <c r="A129" s="16" t="n"/>
      <c r="B129" s="29" t="n"/>
      <c r="C129" s="16" t="n"/>
      <c r="D129" s="17" t="n"/>
      <c r="E129" s="29" t="n"/>
      <c r="F129" s="30">
        <f>IF(A129="","",IF(E129&lt;&gt;"","bezahlt",IF(TODAY()-B129&gt;'Meine Daten'!$C$17,"ÜBERFÄLLIG","offen")))</f>
        <v/>
      </c>
      <c r="G129" s="30">
        <f>IF(A129="","",IF(COUNTIF($A$5:$A$204,A129)&gt;1,"DOPPELT!",""))</f>
        <v/>
      </c>
    </row>
    <row r="130">
      <c r="A130" s="16" t="n"/>
      <c r="B130" s="29" t="n"/>
      <c r="C130" s="16" t="n"/>
      <c r="D130" s="17" t="n"/>
      <c r="E130" s="29" t="n"/>
      <c r="F130" s="30">
        <f>IF(A130="","",IF(E130&lt;&gt;"","bezahlt",IF(TODAY()-B130&gt;'Meine Daten'!$C$17,"ÜBERFÄLLIG","offen")))</f>
        <v/>
      </c>
      <c r="G130" s="30">
        <f>IF(A130="","",IF(COUNTIF($A$5:$A$204,A130)&gt;1,"DOPPELT!",""))</f>
        <v/>
      </c>
    </row>
    <row r="131">
      <c r="A131" s="16" t="n"/>
      <c r="B131" s="29" t="n"/>
      <c r="C131" s="16" t="n"/>
      <c r="D131" s="17" t="n"/>
      <c r="E131" s="29" t="n"/>
      <c r="F131" s="30">
        <f>IF(A131="","",IF(E131&lt;&gt;"","bezahlt",IF(TODAY()-B131&gt;'Meine Daten'!$C$17,"ÜBERFÄLLIG","offen")))</f>
        <v/>
      </c>
      <c r="G131" s="30">
        <f>IF(A131="","",IF(COUNTIF($A$5:$A$204,A131)&gt;1,"DOPPELT!",""))</f>
        <v/>
      </c>
    </row>
    <row r="132">
      <c r="A132" s="16" t="n"/>
      <c r="B132" s="29" t="n"/>
      <c r="C132" s="16" t="n"/>
      <c r="D132" s="17" t="n"/>
      <c r="E132" s="29" t="n"/>
      <c r="F132" s="30">
        <f>IF(A132="","",IF(E132&lt;&gt;"","bezahlt",IF(TODAY()-B132&gt;'Meine Daten'!$C$17,"ÜBERFÄLLIG","offen")))</f>
        <v/>
      </c>
      <c r="G132" s="30">
        <f>IF(A132="","",IF(COUNTIF($A$5:$A$204,A132)&gt;1,"DOPPELT!",""))</f>
        <v/>
      </c>
    </row>
    <row r="133">
      <c r="A133" s="16" t="n"/>
      <c r="B133" s="29" t="n"/>
      <c r="C133" s="16" t="n"/>
      <c r="D133" s="17" t="n"/>
      <c r="E133" s="29" t="n"/>
      <c r="F133" s="30">
        <f>IF(A133="","",IF(E133&lt;&gt;"","bezahlt",IF(TODAY()-B133&gt;'Meine Daten'!$C$17,"ÜBERFÄLLIG","offen")))</f>
        <v/>
      </c>
      <c r="G133" s="30">
        <f>IF(A133="","",IF(COUNTIF($A$5:$A$204,A133)&gt;1,"DOPPELT!",""))</f>
        <v/>
      </c>
    </row>
    <row r="134">
      <c r="A134" s="16" t="n"/>
      <c r="B134" s="29" t="n"/>
      <c r="C134" s="16" t="n"/>
      <c r="D134" s="17" t="n"/>
      <c r="E134" s="29" t="n"/>
      <c r="F134" s="30">
        <f>IF(A134="","",IF(E134&lt;&gt;"","bezahlt",IF(TODAY()-B134&gt;'Meine Daten'!$C$17,"ÜBERFÄLLIG","offen")))</f>
        <v/>
      </c>
      <c r="G134" s="30">
        <f>IF(A134="","",IF(COUNTIF($A$5:$A$204,A134)&gt;1,"DOPPELT!",""))</f>
        <v/>
      </c>
    </row>
    <row r="135">
      <c r="A135" s="16" t="n"/>
      <c r="B135" s="29" t="n"/>
      <c r="C135" s="16" t="n"/>
      <c r="D135" s="17" t="n"/>
      <c r="E135" s="29" t="n"/>
      <c r="F135" s="30">
        <f>IF(A135="","",IF(E135&lt;&gt;"","bezahlt",IF(TODAY()-B135&gt;'Meine Daten'!$C$17,"ÜBERFÄLLIG","offen")))</f>
        <v/>
      </c>
      <c r="G135" s="30">
        <f>IF(A135="","",IF(COUNTIF($A$5:$A$204,A135)&gt;1,"DOPPELT!",""))</f>
        <v/>
      </c>
    </row>
    <row r="136">
      <c r="A136" s="16" t="n"/>
      <c r="B136" s="29" t="n"/>
      <c r="C136" s="16" t="n"/>
      <c r="D136" s="17" t="n"/>
      <c r="E136" s="29" t="n"/>
      <c r="F136" s="30">
        <f>IF(A136="","",IF(E136&lt;&gt;"","bezahlt",IF(TODAY()-B136&gt;'Meine Daten'!$C$17,"ÜBERFÄLLIG","offen")))</f>
        <v/>
      </c>
      <c r="G136" s="30">
        <f>IF(A136="","",IF(COUNTIF($A$5:$A$204,A136)&gt;1,"DOPPELT!",""))</f>
        <v/>
      </c>
    </row>
    <row r="137">
      <c r="A137" s="16" t="n"/>
      <c r="B137" s="29" t="n"/>
      <c r="C137" s="16" t="n"/>
      <c r="D137" s="17" t="n"/>
      <c r="E137" s="29" t="n"/>
      <c r="F137" s="30">
        <f>IF(A137="","",IF(E137&lt;&gt;"","bezahlt",IF(TODAY()-B137&gt;'Meine Daten'!$C$17,"ÜBERFÄLLIG","offen")))</f>
        <v/>
      </c>
      <c r="G137" s="30">
        <f>IF(A137="","",IF(COUNTIF($A$5:$A$204,A137)&gt;1,"DOPPELT!",""))</f>
        <v/>
      </c>
    </row>
    <row r="138">
      <c r="A138" s="16" t="n"/>
      <c r="B138" s="29" t="n"/>
      <c r="C138" s="16" t="n"/>
      <c r="D138" s="17" t="n"/>
      <c r="E138" s="29" t="n"/>
      <c r="F138" s="30">
        <f>IF(A138="","",IF(E138&lt;&gt;"","bezahlt",IF(TODAY()-B138&gt;'Meine Daten'!$C$17,"ÜBERFÄLLIG","offen")))</f>
        <v/>
      </c>
      <c r="G138" s="30">
        <f>IF(A138="","",IF(COUNTIF($A$5:$A$204,A138)&gt;1,"DOPPELT!",""))</f>
        <v/>
      </c>
    </row>
    <row r="139">
      <c r="A139" s="16" t="n"/>
      <c r="B139" s="29" t="n"/>
      <c r="C139" s="16" t="n"/>
      <c r="D139" s="17" t="n"/>
      <c r="E139" s="29" t="n"/>
      <c r="F139" s="30">
        <f>IF(A139="","",IF(E139&lt;&gt;"","bezahlt",IF(TODAY()-B139&gt;'Meine Daten'!$C$17,"ÜBERFÄLLIG","offen")))</f>
        <v/>
      </c>
      <c r="G139" s="30">
        <f>IF(A139="","",IF(COUNTIF($A$5:$A$204,A139)&gt;1,"DOPPELT!",""))</f>
        <v/>
      </c>
    </row>
    <row r="140">
      <c r="A140" s="16" t="n"/>
      <c r="B140" s="29" t="n"/>
      <c r="C140" s="16" t="n"/>
      <c r="D140" s="17" t="n"/>
      <c r="E140" s="29" t="n"/>
      <c r="F140" s="30">
        <f>IF(A140="","",IF(E140&lt;&gt;"","bezahlt",IF(TODAY()-B140&gt;'Meine Daten'!$C$17,"ÜBERFÄLLIG","offen")))</f>
        <v/>
      </c>
      <c r="G140" s="30">
        <f>IF(A140="","",IF(COUNTIF($A$5:$A$204,A140)&gt;1,"DOPPELT!",""))</f>
        <v/>
      </c>
    </row>
    <row r="141">
      <c r="A141" s="16" t="n"/>
      <c r="B141" s="29" t="n"/>
      <c r="C141" s="16" t="n"/>
      <c r="D141" s="17" t="n"/>
      <c r="E141" s="29" t="n"/>
      <c r="F141" s="30">
        <f>IF(A141="","",IF(E141&lt;&gt;"","bezahlt",IF(TODAY()-B141&gt;'Meine Daten'!$C$17,"ÜBERFÄLLIG","offen")))</f>
        <v/>
      </c>
      <c r="G141" s="30">
        <f>IF(A141="","",IF(COUNTIF($A$5:$A$204,A141)&gt;1,"DOPPELT!",""))</f>
        <v/>
      </c>
    </row>
    <row r="142">
      <c r="A142" s="16" t="n"/>
      <c r="B142" s="29" t="n"/>
      <c r="C142" s="16" t="n"/>
      <c r="D142" s="17" t="n"/>
      <c r="E142" s="29" t="n"/>
      <c r="F142" s="30">
        <f>IF(A142="","",IF(E142&lt;&gt;"","bezahlt",IF(TODAY()-B142&gt;'Meine Daten'!$C$17,"ÜBERFÄLLIG","offen")))</f>
        <v/>
      </c>
      <c r="G142" s="30">
        <f>IF(A142="","",IF(COUNTIF($A$5:$A$204,A142)&gt;1,"DOPPELT!",""))</f>
        <v/>
      </c>
    </row>
    <row r="143">
      <c r="A143" s="16" t="n"/>
      <c r="B143" s="29" t="n"/>
      <c r="C143" s="16" t="n"/>
      <c r="D143" s="17" t="n"/>
      <c r="E143" s="29" t="n"/>
      <c r="F143" s="30">
        <f>IF(A143="","",IF(E143&lt;&gt;"","bezahlt",IF(TODAY()-B143&gt;'Meine Daten'!$C$17,"ÜBERFÄLLIG","offen")))</f>
        <v/>
      </c>
      <c r="G143" s="30">
        <f>IF(A143="","",IF(COUNTIF($A$5:$A$204,A143)&gt;1,"DOPPELT!",""))</f>
        <v/>
      </c>
    </row>
    <row r="144">
      <c r="A144" s="16" t="n"/>
      <c r="B144" s="29" t="n"/>
      <c r="C144" s="16" t="n"/>
      <c r="D144" s="17" t="n"/>
      <c r="E144" s="29" t="n"/>
      <c r="F144" s="30">
        <f>IF(A144="","",IF(E144&lt;&gt;"","bezahlt",IF(TODAY()-B144&gt;'Meine Daten'!$C$17,"ÜBERFÄLLIG","offen")))</f>
        <v/>
      </c>
      <c r="G144" s="30">
        <f>IF(A144="","",IF(COUNTIF($A$5:$A$204,A144)&gt;1,"DOPPELT!",""))</f>
        <v/>
      </c>
    </row>
    <row r="145">
      <c r="A145" s="16" t="n"/>
      <c r="B145" s="29" t="n"/>
      <c r="C145" s="16" t="n"/>
      <c r="D145" s="17" t="n"/>
      <c r="E145" s="29" t="n"/>
      <c r="F145" s="30">
        <f>IF(A145="","",IF(E145&lt;&gt;"","bezahlt",IF(TODAY()-B145&gt;'Meine Daten'!$C$17,"ÜBERFÄLLIG","offen")))</f>
        <v/>
      </c>
      <c r="G145" s="30">
        <f>IF(A145="","",IF(COUNTIF($A$5:$A$204,A145)&gt;1,"DOPPELT!",""))</f>
        <v/>
      </c>
    </row>
    <row r="146">
      <c r="A146" s="16" t="n"/>
      <c r="B146" s="29" t="n"/>
      <c r="C146" s="16" t="n"/>
      <c r="D146" s="17" t="n"/>
      <c r="E146" s="29" t="n"/>
      <c r="F146" s="30">
        <f>IF(A146="","",IF(E146&lt;&gt;"","bezahlt",IF(TODAY()-B146&gt;'Meine Daten'!$C$17,"ÜBERFÄLLIG","offen")))</f>
        <v/>
      </c>
      <c r="G146" s="30">
        <f>IF(A146="","",IF(COUNTIF($A$5:$A$204,A146)&gt;1,"DOPPELT!",""))</f>
        <v/>
      </c>
    </row>
    <row r="147">
      <c r="A147" s="16" t="n"/>
      <c r="B147" s="29" t="n"/>
      <c r="C147" s="16" t="n"/>
      <c r="D147" s="17" t="n"/>
      <c r="E147" s="29" t="n"/>
      <c r="F147" s="30">
        <f>IF(A147="","",IF(E147&lt;&gt;"","bezahlt",IF(TODAY()-B147&gt;'Meine Daten'!$C$17,"ÜBERFÄLLIG","offen")))</f>
        <v/>
      </c>
      <c r="G147" s="30">
        <f>IF(A147="","",IF(COUNTIF($A$5:$A$204,A147)&gt;1,"DOPPELT!",""))</f>
        <v/>
      </c>
    </row>
    <row r="148">
      <c r="A148" s="16" t="n"/>
      <c r="B148" s="29" t="n"/>
      <c r="C148" s="16" t="n"/>
      <c r="D148" s="17" t="n"/>
      <c r="E148" s="29" t="n"/>
      <c r="F148" s="30">
        <f>IF(A148="","",IF(E148&lt;&gt;"","bezahlt",IF(TODAY()-B148&gt;'Meine Daten'!$C$17,"ÜBERFÄLLIG","offen")))</f>
        <v/>
      </c>
      <c r="G148" s="30">
        <f>IF(A148="","",IF(COUNTIF($A$5:$A$204,A148)&gt;1,"DOPPELT!",""))</f>
        <v/>
      </c>
    </row>
    <row r="149">
      <c r="A149" s="16" t="n"/>
      <c r="B149" s="29" t="n"/>
      <c r="C149" s="16" t="n"/>
      <c r="D149" s="17" t="n"/>
      <c r="E149" s="29" t="n"/>
      <c r="F149" s="30">
        <f>IF(A149="","",IF(E149&lt;&gt;"","bezahlt",IF(TODAY()-B149&gt;'Meine Daten'!$C$17,"ÜBERFÄLLIG","offen")))</f>
        <v/>
      </c>
      <c r="G149" s="30">
        <f>IF(A149="","",IF(COUNTIF($A$5:$A$204,A149)&gt;1,"DOPPELT!",""))</f>
        <v/>
      </c>
    </row>
    <row r="150">
      <c r="A150" s="16" t="n"/>
      <c r="B150" s="29" t="n"/>
      <c r="C150" s="16" t="n"/>
      <c r="D150" s="17" t="n"/>
      <c r="E150" s="29" t="n"/>
      <c r="F150" s="30">
        <f>IF(A150="","",IF(E150&lt;&gt;"","bezahlt",IF(TODAY()-B150&gt;'Meine Daten'!$C$17,"ÜBERFÄLLIG","offen")))</f>
        <v/>
      </c>
      <c r="G150" s="30">
        <f>IF(A150="","",IF(COUNTIF($A$5:$A$204,A150)&gt;1,"DOPPELT!",""))</f>
        <v/>
      </c>
    </row>
    <row r="151">
      <c r="A151" s="16" t="n"/>
      <c r="B151" s="29" t="n"/>
      <c r="C151" s="16" t="n"/>
      <c r="D151" s="17" t="n"/>
      <c r="E151" s="29" t="n"/>
      <c r="F151" s="30">
        <f>IF(A151="","",IF(E151&lt;&gt;"","bezahlt",IF(TODAY()-B151&gt;'Meine Daten'!$C$17,"ÜBERFÄLLIG","offen")))</f>
        <v/>
      </c>
      <c r="G151" s="30">
        <f>IF(A151="","",IF(COUNTIF($A$5:$A$204,A151)&gt;1,"DOPPELT!",""))</f>
        <v/>
      </c>
    </row>
    <row r="152">
      <c r="A152" s="16" t="n"/>
      <c r="B152" s="29" t="n"/>
      <c r="C152" s="16" t="n"/>
      <c r="D152" s="17" t="n"/>
      <c r="E152" s="29" t="n"/>
      <c r="F152" s="30">
        <f>IF(A152="","",IF(E152&lt;&gt;"","bezahlt",IF(TODAY()-B152&gt;'Meine Daten'!$C$17,"ÜBERFÄLLIG","offen")))</f>
        <v/>
      </c>
      <c r="G152" s="30">
        <f>IF(A152="","",IF(COUNTIF($A$5:$A$204,A152)&gt;1,"DOPPELT!",""))</f>
        <v/>
      </c>
    </row>
    <row r="153">
      <c r="A153" s="16" t="n"/>
      <c r="B153" s="29" t="n"/>
      <c r="C153" s="16" t="n"/>
      <c r="D153" s="17" t="n"/>
      <c r="E153" s="29" t="n"/>
      <c r="F153" s="30">
        <f>IF(A153="","",IF(E153&lt;&gt;"","bezahlt",IF(TODAY()-B153&gt;'Meine Daten'!$C$17,"ÜBERFÄLLIG","offen")))</f>
        <v/>
      </c>
      <c r="G153" s="30">
        <f>IF(A153="","",IF(COUNTIF($A$5:$A$204,A153)&gt;1,"DOPPELT!",""))</f>
        <v/>
      </c>
    </row>
    <row r="154">
      <c r="A154" s="16" t="n"/>
      <c r="B154" s="29" t="n"/>
      <c r="C154" s="16" t="n"/>
      <c r="D154" s="17" t="n"/>
      <c r="E154" s="29" t="n"/>
      <c r="F154" s="30">
        <f>IF(A154="","",IF(E154&lt;&gt;"","bezahlt",IF(TODAY()-B154&gt;'Meine Daten'!$C$17,"ÜBERFÄLLIG","offen")))</f>
        <v/>
      </c>
      <c r="G154" s="30">
        <f>IF(A154="","",IF(COUNTIF($A$5:$A$204,A154)&gt;1,"DOPPELT!",""))</f>
        <v/>
      </c>
    </row>
    <row r="155">
      <c r="A155" s="16" t="n"/>
      <c r="B155" s="29" t="n"/>
      <c r="C155" s="16" t="n"/>
      <c r="D155" s="17" t="n"/>
      <c r="E155" s="29" t="n"/>
      <c r="F155" s="30">
        <f>IF(A155="","",IF(E155&lt;&gt;"","bezahlt",IF(TODAY()-B155&gt;'Meine Daten'!$C$17,"ÜBERFÄLLIG","offen")))</f>
        <v/>
      </c>
      <c r="G155" s="30">
        <f>IF(A155="","",IF(COUNTIF($A$5:$A$204,A155)&gt;1,"DOPPELT!",""))</f>
        <v/>
      </c>
    </row>
    <row r="156">
      <c r="A156" s="16" t="n"/>
      <c r="B156" s="29" t="n"/>
      <c r="C156" s="16" t="n"/>
      <c r="D156" s="17" t="n"/>
      <c r="E156" s="29" t="n"/>
      <c r="F156" s="30">
        <f>IF(A156="","",IF(E156&lt;&gt;"","bezahlt",IF(TODAY()-B156&gt;'Meine Daten'!$C$17,"ÜBERFÄLLIG","offen")))</f>
        <v/>
      </c>
      <c r="G156" s="30">
        <f>IF(A156="","",IF(COUNTIF($A$5:$A$204,A156)&gt;1,"DOPPELT!",""))</f>
        <v/>
      </c>
    </row>
    <row r="157">
      <c r="A157" s="16" t="n"/>
      <c r="B157" s="29" t="n"/>
      <c r="C157" s="16" t="n"/>
      <c r="D157" s="17" t="n"/>
      <c r="E157" s="29" t="n"/>
      <c r="F157" s="30">
        <f>IF(A157="","",IF(E157&lt;&gt;"","bezahlt",IF(TODAY()-B157&gt;'Meine Daten'!$C$17,"ÜBERFÄLLIG","offen")))</f>
        <v/>
      </c>
      <c r="G157" s="30">
        <f>IF(A157="","",IF(COUNTIF($A$5:$A$204,A157)&gt;1,"DOPPELT!",""))</f>
        <v/>
      </c>
    </row>
    <row r="158">
      <c r="A158" s="16" t="n"/>
      <c r="B158" s="29" t="n"/>
      <c r="C158" s="16" t="n"/>
      <c r="D158" s="17" t="n"/>
      <c r="E158" s="29" t="n"/>
      <c r="F158" s="30">
        <f>IF(A158="","",IF(E158&lt;&gt;"","bezahlt",IF(TODAY()-B158&gt;'Meine Daten'!$C$17,"ÜBERFÄLLIG","offen")))</f>
        <v/>
      </c>
      <c r="G158" s="30">
        <f>IF(A158="","",IF(COUNTIF($A$5:$A$204,A158)&gt;1,"DOPPELT!",""))</f>
        <v/>
      </c>
    </row>
    <row r="159">
      <c r="A159" s="16" t="n"/>
      <c r="B159" s="29" t="n"/>
      <c r="C159" s="16" t="n"/>
      <c r="D159" s="17" t="n"/>
      <c r="E159" s="29" t="n"/>
      <c r="F159" s="30">
        <f>IF(A159="","",IF(E159&lt;&gt;"","bezahlt",IF(TODAY()-B159&gt;'Meine Daten'!$C$17,"ÜBERFÄLLIG","offen")))</f>
        <v/>
      </c>
      <c r="G159" s="30">
        <f>IF(A159="","",IF(COUNTIF($A$5:$A$204,A159)&gt;1,"DOPPELT!",""))</f>
        <v/>
      </c>
    </row>
    <row r="160">
      <c r="A160" s="16" t="n"/>
      <c r="B160" s="29" t="n"/>
      <c r="C160" s="16" t="n"/>
      <c r="D160" s="17" t="n"/>
      <c r="E160" s="29" t="n"/>
      <c r="F160" s="30">
        <f>IF(A160="","",IF(E160&lt;&gt;"","bezahlt",IF(TODAY()-B160&gt;'Meine Daten'!$C$17,"ÜBERFÄLLIG","offen")))</f>
        <v/>
      </c>
      <c r="G160" s="30">
        <f>IF(A160="","",IF(COUNTIF($A$5:$A$204,A160)&gt;1,"DOPPELT!",""))</f>
        <v/>
      </c>
    </row>
    <row r="161">
      <c r="A161" s="16" t="n"/>
      <c r="B161" s="29" t="n"/>
      <c r="C161" s="16" t="n"/>
      <c r="D161" s="17" t="n"/>
      <c r="E161" s="29" t="n"/>
      <c r="F161" s="30">
        <f>IF(A161="","",IF(E161&lt;&gt;"","bezahlt",IF(TODAY()-B161&gt;'Meine Daten'!$C$17,"ÜBERFÄLLIG","offen")))</f>
        <v/>
      </c>
      <c r="G161" s="30">
        <f>IF(A161="","",IF(COUNTIF($A$5:$A$204,A161)&gt;1,"DOPPELT!",""))</f>
        <v/>
      </c>
    </row>
    <row r="162">
      <c r="A162" s="16" t="n"/>
      <c r="B162" s="29" t="n"/>
      <c r="C162" s="16" t="n"/>
      <c r="D162" s="17" t="n"/>
      <c r="E162" s="29" t="n"/>
      <c r="F162" s="30">
        <f>IF(A162="","",IF(E162&lt;&gt;"","bezahlt",IF(TODAY()-B162&gt;'Meine Daten'!$C$17,"ÜBERFÄLLIG","offen")))</f>
        <v/>
      </c>
      <c r="G162" s="30">
        <f>IF(A162="","",IF(COUNTIF($A$5:$A$204,A162)&gt;1,"DOPPELT!",""))</f>
        <v/>
      </c>
    </row>
    <row r="163">
      <c r="A163" s="16" t="n"/>
      <c r="B163" s="29" t="n"/>
      <c r="C163" s="16" t="n"/>
      <c r="D163" s="17" t="n"/>
      <c r="E163" s="29" t="n"/>
      <c r="F163" s="30">
        <f>IF(A163="","",IF(E163&lt;&gt;"","bezahlt",IF(TODAY()-B163&gt;'Meine Daten'!$C$17,"ÜBERFÄLLIG","offen")))</f>
        <v/>
      </c>
      <c r="G163" s="30">
        <f>IF(A163="","",IF(COUNTIF($A$5:$A$204,A163)&gt;1,"DOPPELT!",""))</f>
        <v/>
      </c>
    </row>
    <row r="164">
      <c r="A164" s="16" t="n"/>
      <c r="B164" s="29" t="n"/>
      <c r="C164" s="16" t="n"/>
      <c r="D164" s="17" t="n"/>
      <c r="E164" s="29" t="n"/>
      <c r="F164" s="30">
        <f>IF(A164="","",IF(E164&lt;&gt;"","bezahlt",IF(TODAY()-B164&gt;'Meine Daten'!$C$17,"ÜBERFÄLLIG","offen")))</f>
        <v/>
      </c>
      <c r="G164" s="30">
        <f>IF(A164="","",IF(COUNTIF($A$5:$A$204,A164)&gt;1,"DOPPELT!",""))</f>
        <v/>
      </c>
    </row>
    <row r="165">
      <c r="A165" s="16" t="n"/>
      <c r="B165" s="29" t="n"/>
      <c r="C165" s="16" t="n"/>
      <c r="D165" s="17" t="n"/>
      <c r="E165" s="29" t="n"/>
      <c r="F165" s="30">
        <f>IF(A165="","",IF(E165&lt;&gt;"","bezahlt",IF(TODAY()-B165&gt;'Meine Daten'!$C$17,"ÜBERFÄLLIG","offen")))</f>
        <v/>
      </c>
      <c r="G165" s="30">
        <f>IF(A165="","",IF(COUNTIF($A$5:$A$204,A165)&gt;1,"DOPPELT!",""))</f>
        <v/>
      </c>
    </row>
    <row r="166">
      <c r="A166" s="16" t="n"/>
      <c r="B166" s="29" t="n"/>
      <c r="C166" s="16" t="n"/>
      <c r="D166" s="17" t="n"/>
      <c r="E166" s="29" t="n"/>
      <c r="F166" s="30">
        <f>IF(A166="","",IF(E166&lt;&gt;"","bezahlt",IF(TODAY()-B166&gt;'Meine Daten'!$C$17,"ÜBERFÄLLIG","offen")))</f>
        <v/>
      </c>
      <c r="G166" s="30">
        <f>IF(A166="","",IF(COUNTIF($A$5:$A$204,A166)&gt;1,"DOPPELT!",""))</f>
        <v/>
      </c>
    </row>
    <row r="167">
      <c r="A167" s="16" t="n"/>
      <c r="B167" s="29" t="n"/>
      <c r="C167" s="16" t="n"/>
      <c r="D167" s="17" t="n"/>
      <c r="E167" s="29" t="n"/>
      <c r="F167" s="30">
        <f>IF(A167="","",IF(E167&lt;&gt;"","bezahlt",IF(TODAY()-B167&gt;'Meine Daten'!$C$17,"ÜBERFÄLLIG","offen")))</f>
        <v/>
      </c>
      <c r="G167" s="30">
        <f>IF(A167="","",IF(COUNTIF($A$5:$A$204,A167)&gt;1,"DOPPELT!",""))</f>
        <v/>
      </c>
    </row>
    <row r="168">
      <c r="A168" s="16" t="n"/>
      <c r="B168" s="29" t="n"/>
      <c r="C168" s="16" t="n"/>
      <c r="D168" s="17" t="n"/>
      <c r="E168" s="29" t="n"/>
      <c r="F168" s="30">
        <f>IF(A168="","",IF(E168&lt;&gt;"","bezahlt",IF(TODAY()-B168&gt;'Meine Daten'!$C$17,"ÜBERFÄLLIG","offen")))</f>
        <v/>
      </c>
      <c r="G168" s="30">
        <f>IF(A168="","",IF(COUNTIF($A$5:$A$204,A168)&gt;1,"DOPPELT!",""))</f>
        <v/>
      </c>
    </row>
    <row r="169">
      <c r="A169" s="16" t="n"/>
      <c r="B169" s="29" t="n"/>
      <c r="C169" s="16" t="n"/>
      <c r="D169" s="17" t="n"/>
      <c r="E169" s="29" t="n"/>
      <c r="F169" s="30">
        <f>IF(A169="","",IF(E169&lt;&gt;"","bezahlt",IF(TODAY()-B169&gt;'Meine Daten'!$C$17,"ÜBERFÄLLIG","offen")))</f>
        <v/>
      </c>
      <c r="G169" s="30">
        <f>IF(A169="","",IF(COUNTIF($A$5:$A$204,A169)&gt;1,"DOPPELT!",""))</f>
        <v/>
      </c>
    </row>
    <row r="170">
      <c r="A170" s="16" t="n"/>
      <c r="B170" s="29" t="n"/>
      <c r="C170" s="16" t="n"/>
      <c r="D170" s="17" t="n"/>
      <c r="E170" s="29" t="n"/>
      <c r="F170" s="30">
        <f>IF(A170="","",IF(E170&lt;&gt;"","bezahlt",IF(TODAY()-B170&gt;'Meine Daten'!$C$17,"ÜBERFÄLLIG","offen")))</f>
        <v/>
      </c>
      <c r="G170" s="30">
        <f>IF(A170="","",IF(COUNTIF($A$5:$A$204,A170)&gt;1,"DOPPELT!",""))</f>
        <v/>
      </c>
    </row>
    <row r="171">
      <c r="A171" s="16" t="n"/>
      <c r="B171" s="29" t="n"/>
      <c r="C171" s="16" t="n"/>
      <c r="D171" s="17" t="n"/>
      <c r="E171" s="29" t="n"/>
      <c r="F171" s="30">
        <f>IF(A171="","",IF(E171&lt;&gt;"","bezahlt",IF(TODAY()-B171&gt;'Meine Daten'!$C$17,"ÜBERFÄLLIG","offen")))</f>
        <v/>
      </c>
      <c r="G171" s="30">
        <f>IF(A171="","",IF(COUNTIF($A$5:$A$204,A171)&gt;1,"DOPPELT!",""))</f>
        <v/>
      </c>
    </row>
    <row r="172">
      <c r="A172" s="16" t="n"/>
      <c r="B172" s="29" t="n"/>
      <c r="C172" s="16" t="n"/>
      <c r="D172" s="17" t="n"/>
      <c r="E172" s="29" t="n"/>
      <c r="F172" s="30">
        <f>IF(A172="","",IF(E172&lt;&gt;"","bezahlt",IF(TODAY()-B172&gt;'Meine Daten'!$C$17,"ÜBERFÄLLIG","offen")))</f>
        <v/>
      </c>
      <c r="G172" s="30">
        <f>IF(A172="","",IF(COUNTIF($A$5:$A$204,A172)&gt;1,"DOPPELT!",""))</f>
        <v/>
      </c>
    </row>
    <row r="173">
      <c r="A173" s="16" t="n"/>
      <c r="B173" s="29" t="n"/>
      <c r="C173" s="16" t="n"/>
      <c r="D173" s="17" t="n"/>
      <c r="E173" s="29" t="n"/>
      <c r="F173" s="30">
        <f>IF(A173="","",IF(E173&lt;&gt;"","bezahlt",IF(TODAY()-B173&gt;'Meine Daten'!$C$17,"ÜBERFÄLLIG","offen")))</f>
        <v/>
      </c>
      <c r="G173" s="30">
        <f>IF(A173="","",IF(COUNTIF($A$5:$A$204,A173)&gt;1,"DOPPELT!",""))</f>
        <v/>
      </c>
    </row>
    <row r="174">
      <c r="A174" s="16" t="n"/>
      <c r="B174" s="29" t="n"/>
      <c r="C174" s="16" t="n"/>
      <c r="D174" s="17" t="n"/>
      <c r="E174" s="29" t="n"/>
      <c r="F174" s="30">
        <f>IF(A174="","",IF(E174&lt;&gt;"","bezahlt",IF(TODAY()-B174&gt;'Meine Daten'!$C$17,"ÜBERFÄLLIG","offen")))</f>
        <v/>
      </c>
      <c r="G174" s="30">
        <f>IF(A174="","",IF(COUNTIF($A$5:$A$204,A174)&gt;1,"DOPPELT!",""))</f>
        <v/>
      </c>
    </row>
    <row r="175">
      <c r="A175" s="16" t="n"/>
      <c r="B175" s="29" t="n"/>
      <c r="C175" s="16" t="n"/>
      <c r="D175" s="17" t="n"/>
      <c r="E175" s="29" t="n"/>
      <c r="F175" s="30">
        <f>IF(A175="","",IF(E175&lt;&gt;"","bezahlt",IF(TODAY()-B175&gt;'Meine Daten'!$C$17,"ÜBERFÄLLIG","offen")))</f>
        <v/>
      </c>
      <c r="G175" s="30">
        <f>IF(A175="","",IF(COUNTIF($A$5:$A$204,A175)&gt;1,"DOPPELT!",""))</f>
        <v/>
      </c>
    </row>
    <row r="176">
      <c r="A176" s="16" t="n"/>
      <c r="B176" s="29" t="n"/>
      <c r="C176" s="16" t="n"/>
      <c r="D176" s="17" t="n"/>
      <c r="E176" s="29" t="n"/>
      <c r="F176" s="30">
        <f>IF(A176="","",IF(E176&lt;&gt;"","bezahlt",IF(TODAY()-B176&gt;'Meine Daten'!$C$17,"ÜBERFÄLLIG","offen")))</f>
        <v/>
      </c>
      <c r="G176" s="30">
        <f>IF(A176="","",IF(COUNTIF($A$5:$A$204,A176)&gt;1,"DOPPELT!",""))</f>
        <v/>
      </c>
    </row>
    <row r="177">
      <c r="A177" s="16" t="n"/>
      <c r="B177" s="29" t="n"/>
      <c r="C177" s="16" t="n"/>
      <c r="D177" s="17" t="n"/>
      <c r="E177" s="29" t="n"/>
      <c r="F177" s="30">
        <f>IF(A177="","",IF(E177&lt;&gt;"","bezahlt",IF(TODAY()-B177&gt;'Meine Daten'!$C$17,"ÜBERFÄLLIG","offen")))</f>
        <v/>
      </c>
      <c r="G177" s="30">
        <f>IF(A177="","",IF(COUNTIF($A$5:$A$204,A177)&gt;1,"DOPPELT!",""))</f>
        <v/>
      </c>
    </row>
    <row r="178">
      <c r="A178" s="16" t="n"/>
      <c r="B178" s="29" t="n"/>
      <c r="C178" s="16" t="n"/>
      <c r="D178" s="17" t="n"/>
      <c r="E178" s="29" t="n"/>
      <c r="F178" s="30">
        <f>IF(A178="","",IF(E178&lt;&gt;"","bezahlt",IF(TODAY()-B178&gt;'Meine Daten'!$C$17,"ÜBERFÄLLIG","offen")))</f>
        <v/>
      </c>
      <c r="G178" s="30">
        <f>IF(A178="","",IF(COUNTIF($A$5:$A$204,A178)&gt;1,"DOPPELT!",""))</f>
        <v/>
      </c>
    </row>
    <row r="179">
      <c r="A179" s="16" t="n"/>
      <c r="B179" s="29" t="n"/>
      <c r="C179" s="16" t="n"/>
      <c r="D179" s="17" t="n"/>
      <c r="E179" s="29" t="n"/>
      <c r="F179" s="30">
        <f>IF(A179="","",IF(E179&lt;&gt;"","bezahlt",IF(TODAY()-B179&gt;'Meine Daten'!$C$17,"ÜBERFÄLLIG","offen")))</f>
        <v/>
      </c>
      <c r="G179" s="30">
        <f>IF(A179="","",IF(COUNTIF($A$5:$A$204,A179)&gt;1,"DOPPELT!",""))</f>
        <v/>
      </c>
    </row>
    <row r="180">
      <c r="A180" s="16" t="n"/>
      <c r="B180" s="29" t="n"/>
      <c r="C180" s="16" t="n"/>
      <c r="D180" s="17" t="n"/>
      <c r="E180" s="29" t="n"/>
      <c r="F180" s="30">
        <f>IF(A180="","",IF(E180&lt;&gt;"","bezahlt",IF(TODAY()-B180&gt;'Meine Daten'!$C$17,"ÜBERFÄLLIG","offen")))</f>
        <v/>
      </c>
      <c r="G180" s="30">
        <f>IF(A180="","",IF(COUNTIF($A$5:$A$204,A180)&gt;1,"DOPPELT!",""))</f>
        <v/>
      </c>
    </row>
    <row r="181">
      <c r="A181" s="16" t="n"/>
      <c r="B181" s="29" t="n"/>
      <c r="C181" s="16" t="n"/>
      <c r="D181" s="17" t="n"/>
      <c r="E181" s="29" t="n"/>
      <c r="F181" s="30">
        <f>IF(A181="","",IF(E181&lt;&gt;"","bezahlt",IF(TODAY()-B181&gt;'Meine Daten'!$C$17,"ÜBERFÄLLIG","offen")))</f>
        <v/>
      </c>
      <c r="G181" s="30">
        <f>IF(A181="","",IF(COUNTIF($A$5:$A$204,A181)&gt;1,"DOPPELT!",""))</f>
        <v/>
      </c>
    </row>
    <row r="182">
      <c r="A182" s="16" t="n"/>
      <c r="B182" s="29" t="n"/>
      <c r="C182" s="16" t="n"/>
      <c r="D182" s="17" t="n"/>
      <c r="E182" s="29" t="n"/>
      <c r="F182" s="30">
        <f>IF(A182="","",IF(E182&lt;&gt;"","bezahlt",IF(TODAY()-B182&gt;'Meine Daten'!$C$17,"ÜBERFÄLLIG","offen")))</f>
        <v/>
      </c>
      <c r="G182" s="30">
        <f>IF(A182="","",IF(COUNTIF($A$5:$A$204,A182)&gt;1,"DOPPELT!",""))</f>
        <v/>
      </c>
    </row>
    <row r="183">
      <c r="A183" s="16" t="n"/>
      <c r="B183" s="29" t="n"/>
      <c r="C183" s="16" t="n"/>
      <c r="D183" s="17" t="n"/>
      <c r="E183" s="29" t="n"/>
      <c r="F183" s="30">
        <f>IF(A183="","",IF(E183&lt;&gt;"","bezahlt",IF(TODAY()-B183&gt;'Meine Daten'!$C$17,"ÜBERFÄLLIG","offen")))</f>
        <v/>
      </c>
      <c r="G183" s="30">
        <f>IF(A183="","",IF(COUNTIF($A$5:$A$204,A183)&gt;1,"DOPPELT!",""))</f>
        <v/>
      </c>
    </row>
    <row r="184">
      <c r="A184" s="16" t="n"/>
      <c r="B184" s="29" t="n"/>
      <c r="C184" s="16" t="n"/>
      <c r="D184" s="17" t="n"/>
      <c r="E184" s="29" t="n"/>
      <c r="F184" s="30">
        <f>IF(A184="","",IF(E184&lt;&gt;"","bezahlt",IF(TODAY()-B184&gt;'Meine Daten'!$C$17,"ÜBERFÄLLIG","offen")))</f>
        <v/>
      </c>
      <c r="G184" s="30">
        <f>IF(A184="","",IF(COUNTIF($A$5:$A$204,A184)&gt;1,"DOPPELT!",""))</f>
        <v/>
      </c>
    </row>
    <row r="185">
      <c r="A185" s="16" t="n"/>
      <c r="B185" s="29" t="n"/>
      <c r="C185" s="16" t="n"/>
      <c r="D185" s="17" t="n"/>
      <c r="E185" s="29" t="n"/>
      <c r="F185" s="30">
        <f>IF(A185="","",IF(E185&lt;&gt;"","bezahlt",IF(TODAY()-B185&gt;'Meine Daten'!$C$17,"ÜBERFÄLLIG","offen")))</f>
        <v/>
      </c>
      <c r="G185" s="30">
        <f>IF(A185="","",IF(COUNTIF($A$5:$A$204,A185)&gt;1,"DOPPELT!",""))</f>
        <v/>
      </c>
    </row>
    <row r="186">
      <c r="A186" s="16" t="n"/>
      <c r="B186" s="29" t="n"/>
      <c r="C186" s="16" t="n"/>
      <c r="D186" s="17" t="n"/>
      <c r="E186" s="29" t="n"/>
      <c r="F186" s="30">
        <f>IF(A186="","",IF(E186&lt;&gt;"","bezahlt",IF(TODAY()-B186&gt;'Meine Daten'!$C$17,"ÜBERFÄLLIG","offen")))</f>
        <v/>
      </c>
      <c r="G186" s="30">
        <f>IF(A186="","",IF(COUNTIF($A$5:$A$204,A186)&gt;1,"DOPPELT!",""))</f>
        <v/>
      </c>
    </row>
    <row r="187">
      <c r="A187" s="16" t="n"/>
      <c r="B187" s="29" t="n"/>
      <c r="C187" s="16" t="n"/>
      <c r="D187" s="17" t="n"/>
      <c r="E187" s="29" t="n"/>
      <c r="F187" s="30">
        <f>IF(A187="","",IF(E187&lt;&gt;"","bezahlt",IF(TODAY()-B187&gt;'Meine Daten'!$C$17,"ÜBERFÄLLIG","offen")))</f>
        <v/>
      </c>
      <c r="G187" s="30">
        <f>IF(A187="","",IF(COUNTIF($A$5:$A$204,A187)&gt;1,"DOPPELT!",""))</f>
        <v/>
      </c>
    </row>
    <row r="188">
      <c r="A188" s="16" t="n"/>
      <c r="B188" s="29" t="n"/>
      <c r="C188" s="16" t="n"/>
      <c r="D188" s="17" t="n"/>
      <c r="E188" s="29" t="n"/>
      <c r="F188" s="30">
        <f>IF(A188="","",IF(E188&lt;&gt;"","bezahlt",IF(TODAY()-B188&gt;'Meine Daten'!$C$17,"ÜBERFÄLLIG","offen")))</f>
        <v/>
      </c>
      <c r="G188" s="30">
        <f>IF(A188="","",IF(COUNTIF($A$5:$A$204,A188)&gt;1,"DOPPELT!",""))</f>
        <v/>
      </c>
    </row>
    <row r="189">
      <c r="A189" s="16" t="n"/>
      <c r="B189" s="29" t="n"/>
      <c r="C189" s="16" t="n"/>
      <c r="D189" s="17" t="n"/>
      <c r="E189" s="29" t="n"/>
      <c r="F189" s="30">
        <f>IF(A189="","",IF(E189&lt;&gt;"","bezahlt",IF(TODAY()-B189&gt;'Meine Daten'!$C$17,"ÜBERFÄLLIG","offen")))</f>
        <v/>
      </c>
      <c r="G189" s="30">
        <f>IF(A189="","",IF(COUNTIF($A$5:$A$204,A189)&gt;1,"DOPPELT!",""))</f>
        <v/>
      </c>
    </row>
    <row r="190">
      <c r="A190" s="16" t="n"/>
      <c r="B190" s="29" t="n"/>
      <c r="C190" s="16" t="n"/>
      <c r="D190" s="17" t="n"/>
      <c r="E190" s="29" t="n"/>
      <c r="F190" s="30">
        <f>IF(A190="","",IF(E190&lt;&gt;"","bezahlt",IF(TODAY()-B190&gt;'Meine Daten'!$C$17,"ÜBERFÄLLIG","offen")))</f>
        <v/>
      </c>
      <c r="G190" s="30">
        <f>IF(A190="","",IF(COUNTIF($A$5:$A$204,A190)&gt;1,"DOPPELT!",""))</f>
        <v/>
      </c>
    </row>
    <row r="191">
      <c r="A191" s="16" t="n"/>
      <c r="B191" s="29" t="n"/>
      <c r="C191" s="16" t="n"/>
      <c r="D191" s="17" t="n"/>
      <c r="E191" s="29" t="n"/>
      <c r="F191" s="30">
        <f>IF(A191="","",IF(E191&lt;&gt;"","bezahlt",IF(TODAY()-B191&gt;'Meine Daten'!$C$17,"ÜBERFÄLLIG","offen")))</f>
        <v/>
      </c>
      <c r="G191" s="30">
        <f>IF(A191="","",IF(COUNTIF($A$5:$A$204,A191)&gt;1,"DOPPELT!",""))</f>
        <v/>
      </c>
    </row>
    <row r="192">
      <c r="A192" s="16" t="n"/>
      <c r="B192" s="29" t="n"/>
      <c r="C192" s="16" t="n"/>
      <c r="D192" s="17" t="n"/>
      <c r="E192" s="29" t="n"/>
      <c r="F192" s="30">
        <f>IF(A192="","",IF(E192&lt;&gt;"","bezahlt",IF(TODAY()-B192&gt;'Meine Daten'!$C$17,"ÜBERFÄLLIG","offen")))</f>
        <v/>
      </c>
      <c r="G192" s="30">
        <f>IF(A192="","",IF(COUNTIF($A$5:$A$204,A192)&gt;1,"DOPPELT!",""))</f>
        <v/>
      </c>
    </row>
    <row r="193">
      <c r="A193" s="16" t="n"/>
      <c r="B193" s="29" t="n"/>
      <c r="C193" s="16" t="n"/>
      <c r="D193" s="17" t="n"/>
      <c r="E193" s="29" t="n"/>
      <c r="F193" s="30">
        <f>IF(A193="","",IF(E193&lt;&gt;"","bezahlt",IF(TODAY()-B193&gt;'Meine Daten'!$C$17,"ÜBERFÄLLIG","offen")))</f>
        <v/>
      </c>
      <c r="G193" s="30">
        <f>IF(A193="","",IF(COUNTIF($A$5:$A$204,A193)&gt;1,"DOPPELT!",""))</f>
        <v/>
      </c>
    </row>
    <row r="194">
      <c r="A194" s="16" t="n"/>
      <c r="B194" s="29" t="n"/>
      <c r="C194" s="16" t="n"/>
      <c r="D194" s="17" t="n"/>
      <c r="E194" s="29" t="n"/>
      <c r="F194" s="30">
        <f>IF(A194="","",IF(E194&lt;&gt;"","bezahlt",IF(TODAY()-B194&gt;'Meine Daten'!$C$17,"ÜBERFÄLLIG","offen")))</f>
        <v/>
      </c>
      <c r="G194" s="30">
        <f>IF(A194="","",IF(COUNTIF($A$5:$A$204,A194)&gt;1,"DOPPELT!",""))</f>
        <v/>
      </c>
    </row>
    <row r="195">
      <c r="A195" s="16" t="n"/>
      <c r="B195" s="29" t="n"/>
      <c r="C195" s="16" t="n"/>
      <c r="D195" s="17" t="n"/>
      <c r="E195" s="29" t="n"/>
      <c r="F195" s="30">
        <f>IF(A195="","",IF(E195&lt;&gt;"","bezahlt",IF(TODAY()-B195&gt;'Meine Daten'!$C$17,"ÜBERFÄLLIG","offen")))</f>
        <v/>
      </c>
      <c r="G195" s="30">
        <f>IF(A195="","",IF(COUNTIF($A$5:$A$204,A195)&gt;1,"DOPPELT!",""))</f>
        <v/>
      </c>
    </row>
    <row r="196">
      <c r="A196" s="16" t="n"/>
      <c r="B196" s="29" t="n"/>
      <c r="C196" s="16" t="n"/>
      <c r="D196" s="17" t="n"/>
      <c r="E196" s="29" t="n"/>
      <c r="F196" s="30">
        <f>IF(A196="","",IF(E196&lt;&gt;"","bezahlt",IF(TODAY()-B196&gt;'Meine Daten'!$C$17,"ÜBERFÄLLIG","offen")))</f>
        <v/>
      </c>
      <c r="G196" s="30">
        <f>IF(A196="","",IF(COUNTIF($A$5:$A$204,A196)&gt;1,"DOPPELT!",""))</f>
        <v/>
      </c>
    </row>
    <row r="197">
      <c r="A197" s="16" t="n"/>
      <c r="B197" s="29" t="n"/>
      <c r="C197" s="16" t="n"/>
      <c r="D197" s="17" t="n"/>
      <c r="E197" s="29" t="n"/>
      <c r="F197" s="30">
        <f>IF(A197="","",IF(E197&lt;&gt;"","bezahlt",IF(TODAY()-B197&gt;'Meine Daten'!$C$17,"ÜBERFÄLLIG","offen")))</f>
        <v/>
      </c>
      <c r="G197" s="30">
        <f>IF(A197="","",IF(COUNTIF($A$5:$A$204,A197)&gt;1,"DOPPELT!",""))</f>
        <v/>
      </c>
    </row>
    <row r="198">
      <c r="A198" s="16" t="n"/>
      <c r="B198" s="29" t="n"/>
      <c r="C198" s="16" t="n"/>
      <c r="D198" s="17" t="n"/>
      <c r="E198" s="29" t="n"/>
      <c r="F198" s="30">
        <f>IF(A198="","",IF(E198&lt;&gt;"","bezahlt",IF(TODAY()-B198&gt;'Meine Daten'!$C$17,"ÜBERFÄLLIG","offen")))</f>
        <v/>
      </c>
      <c r="G198" s="30">
        <f>IF(A198="","",IF(COUNTIF($A$5:$A$204,A198)&gt;1,"DOPPELT!",""))</f>
        <v/>
      </c>
    </row>
    <row r="199">
      <c r="A199" s="16" t="n"/>
      <c r="B199" s="29" t="n"/>
      <c r="C199" s="16" t="n"/>
      <c r="D199" s="17" t="n"/>
      <c r="E199" s="29" t="n"/>
      <c r="F199" s="30">
        <f>IF(A199="","",IF(E199&lt;&gt;"","bezahlt",IF(TODAY()-B199&gt;'Meine Daten'!$C$17,"ÜBERFÄLLIG","offen")))</f>
        <v/>
      </c>
      <c r="G199" s="30">
        <f>IF(A199="","",IF(COUNTIF($A$5:$A$204,A199)&gt;1,"DOPPELT!",""))</f>
        <v/>
      </c>
    </row>
    <row r="200">
      <c r="A200" s="16" t="n"/>
      <c r="B200" s="29" t="n"/>
      <c r="C200" s="16" t="n"/>
      <c r="D200" s="17" t="n"/>
      <c r="E200" s="29" t="n"/>
      <c r="F200" s="30">
        <f>IF(A200="","",IF(E200&lt;&gt;"","bezahlt",IF(TODAY()-B200&gt;'Meine Daten'!$C$17,"ÜBERFÄLLIG","offen")))</f>
        <v/>
      </c>
      <c r="G200" s="30">
        <f>IF(A200="","",IF(COUNTIF($A$5:$A$204,A200)&gt;1,"DOPPELT!",""))</f>
        <v/>
      </c>
    </row>
    <row r="201">
      <c r="A201" s="16" t="n"/>
      <c r="B201" s="29" t="n"/>
      <c r="C201" s="16" t="n"/>
      <c r="D201" s="17" t="n"/>
      <c r="E201" s="29" t="n"/>
      <c r="F201" s="30">
        <f>IF(A201="","",IF(E201&lt;&gt;"","bezahlt",IF(TODAY()-B201&gt;'Meine Daten'!$C$17,"ÜBERFÄLLIG","offen")))</f>
        <v/>
      </c>
      <c r="G201" s="30">
        <f>IF(A201="","",IF(COUNTIF($A$5:$A$204,A201)&gt;1,"DOPPELT!",""))</f>
        <v/>
      </c>
    </row>
    <row r="202">
      <c r="A202" s="16" t="n"/>
      <c r="B202" s="29" t="n"/>
      <c r="C202" s="16" t="n"/>
      <c r="D202" s="17" t="n"/>
      <c r="E202" s="29" t="n"/>
      <c r="F202" s="30">
        <f>IF(A202="","",IF(E202&lt;&gt;"","bezahlt",IF(TODAY()-B202&gt;'Meine Daten'!$C$17,"ÜBERFÄLLIG","offen")))</f>
        <v/>
      </c>
      <c r="G202" s="30">
        <f>IF(A202="","",IF(COUNTIF($A$5:$A$204,A202)&gt;1,"DOPPELT!",""))</f>
        <v/>
      </c>
    </row>
    <row r="203">
      <c r="A203" s="16" t="n"/>
      <c r="B203" s="29" t="n"/>
      <c r="C203" s="16" t="n"/>
      <c r="D203" s="17" t="n"/>
      <c r="E203" s="29" t="n"/>
      <c r="F203" s="30">
        <f>IF(A203="","",IF(E203&lt;&gt;"","bezahlt",IF(TODAY()-B203&gt;'Meine Daten'!$C$17,"ÜBERFÄLLIG","offen")))</f>
        <v/>
      </c>
      <c r="G203" s="30">
        <f>IF(A203="","",IF(COUNTIF($A$5:$A$204,A203)&gt;1,"DOPPELT!",""))</f>
        <v/>
      </c>
    </row>
    <row r="204">
      <c r="A204" s="16" t="n"/>
      <c r="B204" s="29" t="n"/>
      <c r="C204" s="16" t="n"/>
      <c r="D204" s="17" t="n"/>
      <c r="E204" s="29" t="n"/>
      <c r="F204" s="30">
        <f>IF(A204="","",IF(E204&lt;&gt;"","bezahlt",IF(TODAY()-B204&gt;'Meine Daten'!$C$17,"ÜBERFÄLLIG","offen")))</f>
        <v/>
      </c>
      <c r="G204" s="30">
        <f>IF(A204="","",IF(COUNTIF($A$5:$A$204,A204)&gt;1,"DOPPELT!",""))</f>
        <v/>
      </c>
    </row>
    <row r="206">
      <c r="C206" s="19" t="inlineStr">
        <is>
          <t>Summe berechnet</t>
        </is>
      </c>
      <c r="D206" s="31">
        <f>SUM(D5:D204)</f>
        <v/>
      </c>
    </row>
    <row r="207">
      <c r="C207" s="19" t="inlineStr">
        <is>
          <t>davon noch offen</t>
        </is>
      </c>
      <c r="D207" s="32">
        <f>SUMIF(E5:E204,"",D5:D204)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2026-08-05T10:58:54Z</dcterms:created>
  <dcterms:modified xsi:type="dcterms:W3CDTF">2026-08-05T10:58:54Z</dcterms:modified>
</cp:coreProperties>
</file>